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haron Johnson\Desktop\"/>
    </mc:Choice>
  </mc:AlternateContent>
  <xr:revisionPtr revIDLastSave="0" documentId="13_ncr:1_{B6BF18E1-72D9-47EB-B84F-AA44CF2493EC}" xr6:coauthVersionLast="47" xr6:coauthVersionMax="47" xr10:uidLastSave="{00000000-0000-0000-0000-000000000000}"/>
  <bookViews>
    <workbookView xWindow="-120" yWindow="-120" windowWidth="20730" windowHeight="11040" activeTab="2" xr2:uid="{E4158A19-CA45-484E-86A6-563F4A8B53ED}"/>
  </bookViews>
  <sheets>
    <sheet name="Aviation_Data" sheetId="1" r:id="rId1"/>
    <sheet name="Analysis" sheetId="2" r:id="rId2"/>
    <sheet name="Dashboard" sheetId="4" r:id="rId3"/>
  </sheets>
  <calcPr calcId="181029"/>
  <pivotCaches>
    <pivotCache cacheId="0" r:id="rId4"/>
    <pivotCache cacheId="1" r:id="rId5"/>
    <pivotCache cacheId="3" r:id="rId6"/>
  </pivotCaches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2" i="1"/>
</calcChain>
</file>

<file path=xl/sharedStrings.xml><?xml version="1.0" encoding="utf-8"?>
<sst xmlns="http://schemas.openxmlformats.org/spreadsheetml/2006/main" count="3134" uniqueCount="1061">
  <si>
    <t>FL1000</t>
  </si>
  <si>
    <t>Houston</t>
  </si>
  <si>
    <t>Tokyo</t>
  </si>
  <si>
    <t>FL1001</t>
  </si>
  <si>
    <t>Miami</t>
  </si>
  <si>
    <t>FL1002</t>
  </si>
  <si>
    <t>Chicago</t>
  </si>
  <si>
    <t>FL1003</t>
  </si>
  <si>
    <t>FL1004</t>
  </si>
  <si>
    <t>Sydney</t>
  </si>
  <si>
    <t>FL1005</t>
  </si>
  <si>
    <t>Los Angeles</t>
  </si>
  <si>
    <t>FL1006</t>
  </si>
  <si>
    <t>Paris</t>
  </si>
  <si>
    <t>FL1007</t>
  </si>
  <si>
    <t>London</t>
  </si>
  <si>
    <t>FL1008</t>
  </si>
  <si>
    <t>FL1009</t>
  </si>
  <si>
    <t>FL1010</t>
  </si>
  <si>
    <t>FL1011</t>
  </si>
  <si>
    <t>Dubai</t>
  </si>
  <si>
    <t>FL1012</t>
  </si>
  <si>
    <t>FL1013</t>
  </si>
  <si>
    <t>FL1014</t>
  </si>
  <si>
    <t>FL1015</t>
  </si>
  <si>
    <t>FL1016</t>
  </si>
  <si>
    <t>FL1017</t>
  </si>
  <si>
    <t>FL1018</t>
  </si>
  <si>
    <t>New York</t>
  </si>
  <si>
    <t>FL1019</t>
  </si>
  <si>
    <t>FL1020</t>
  </si>
  <si>
    <t>FL1021</t>
  </si>
  <si>
    <t>FL1022</t>
  </si>
  <si>
    <t>FL1023</t>
  </si>
  <si>
    <t>FL1024</t>
  </si>
  <si>
    <t>FL1025</t>
  </si>
  <si>
    <t>FL1026</t>
  </si>
  <si>
    <t>FL1027</t>
  </si>
  <si>
    <t>FL1028</t>
  </si>
  <si>
    <t>FL1029</t>
  </si>
  <si>
    <t>FL1030</t>
  </si>
  <si>
    <t>FL1031</t>
  </si>
  <si>
    <t>FL1032</t>
  </si>
  <si>
    <t>FL1033</t>
  </si>
  <si>
    <t>FL1034</t>
  </si>
  <si>
    <t>FL1035</t>
  </si>
  <si>
    <t>FL1036</t>
  </si>
  <si>
    <t>FL1037</t>
  </si>
  <si>
    <t>FL1038</t>
  </si>
  <si>
    <t>FL1039</t>
  </si>
  <si>
    <t>FL1040</t>
  </si>
  <si>
    <t>FL1041</t>
  </si>
  <si>
    <t>FL1042</t>
  </si>
  <si>
    <t>FL1043</t>
  </si>
  <si>
    <t>FL1044</t>
  </si>
  <si>
    <t>FL1045</t>
  </si>
  <si>
    <t>FL1046</t>
  </si>
  <si>
    <t>FL1047</t>
  </si>
  <si>
    <t>FL1048</t>
  </si>
  <si>
    <t>FL1049</t>
  </si>
  <si>
    <t>FL1050</t>
  </si>
  <si>
    <t>FL1051</t>
  </si>
  <si>
    <t>FL1052</t>
  </si>
  <si>
    <t>FL1053</t>
  </si>
  <si>
    <t>FL1054</t>
  </si>
  <si>
    <t>FL1055</t>
  </si>
  <si>
    <t>FL1056</t>
  </si>
  <si>
    <t>FL1057</t>
  </si>
  <si>
    <t>FL1058</t>
  </si>
  <si>
    <t>FL1059</t>
  </si>
  <si>
    <t>FL1060</t>
  </si>
  <si>
    <t>FL1061</t>
  </si>
  <si>
    <t>FL1062</t>
  </si>
  <si>
    <t>FL1063</t>
  </si>
  <si>
    <t>FL1064</t>
  </si>
  <si>
    <t>FL1065</t>
  </si>
  <si>
    <t>FL1066</t>
  </si>
  <si>
    <t>FL1067</t>
  </si>
  <si>
    <t>FL1068</t>
  </si>
  <si>
    <t>FL1069</t>
  </si>
  <si>
    <t>FL1070</t>
  </si>
  <si>
    <t>FL1071</t>
  </si>
  <si>
    <t>FL1072</t>
  </si>
  <si>
    <t>FL1073</t>
  </si>
  <si>
    <t>FL1074</t>
  </si>
  <si>
    <t>FL1075</t>
  </si>
  <si>
    <t>FL1076</t>
  </si>
  <si>
    <t>FL1077</t>
  </si>
  <si>
    <t>FL1078</t>
  </si>
  <si>
    <t>FL1079</t>
  </si>
  <si>
    <t>FL1080</t>
  </si>
  <si>
    <t>FL1081</t>
  </si>
  <si>
    <t>FL1082</t>
  </si>
  <si>
    <t>FL1083</t>
  </si>
  <si>
    <t>FL1084</t>
  </si>
  <si>
    <t>FL1085</t>
  </si>
  <si>
    <t>FL1086</t>
  </si>
  <si>
    <t>FL1087</t>
  </si>
  <si>
    <t>FL1088</t>
  </si>
  <si>
    <t>FL1089</t>
  </si>
  <si>
    <t>FL1090</t>
  </si>
  <si>
    <t>FL1091</t>
  </si>
  <si>
    <t>FL1092</t>
  </si>
  <si>
    <t>FL1093</t>
  </si>
  <si>
    <t>FL1094</t>
  </si>
  <si>
    <t>FL1095</t>
  </si>
  <si>
    <t>FL1096</t>
  </si>
  <si>
    <t>FL1097</t>
  </si>
  <si>
    <t>FL1098</t>
  </si>
  <si>
    <t>FL1099</t>
  </si>
  <si>
    <t>FL1100</t>
  </si>
  <si>
    <t>FL1101</t>
  </si>
  <si>
    <t>FL1102</t>
  </si>
  <si>
    <t>FL1103</t>
  </si>
  <si>
    <t>FL1104</t>
  </si>
  <si>
    <t>FL1105</t>
  </si>
  <si>
    <t>FL1106</t>
  </si>
  <si>
    <t>FL1107</t>
  </si>
  <si>
    <t>FL1108</t>
  </si>
  <si>
    <t>FL1109</t>
  </si>
  <si>
    <t>FL1110</t>
  </si>
  <si>
    <t>FL1111</t>
  </si>
  <si>
    <t>FL1112</t>
  </si>
  <si>
    <t>FL1113</t>
  </si>
  <si>
    <t>FL1114</t>
  </si>
  <si>
    <t>FL1115</t>
  </si>
  <si>
    <t>FL1116</t>
  </si>
  <si>
    <t>FL1117</t>
  </si>
  <si>
    <t>FL1118</t>
  </si>
  <si>
    <t>FL1119</t>
  </si>
  <si>
    <t>FL1120</t>
  </si>
  <si>
    <t>FL1121</t>
  </si>
  <si>
    <t>FL1122</t>
  </si>
  <si>
    <t>FL1123</t>
  </si>
  <si>
    <t>FL1124</t>
  </si>
  <si>
    <t>FL1125</t>
  </si>
  <si>
    <t>FL1126</t>
  </si>
  <si>
    <t>FL1127</t>
  </si>
  <si>
    <t>FL1128</t>
  </si>
  <si>
    <t>FL1129</t>
  </si>
  <si>
    <t>FL1130</t>
  </si>
  <si>
    <t>FL1131</t>
  </si>
  <si>
    <t>FL1132</t>
  </si>
  <si>
    <t>FL1133</t>
  </si>
  <si>
    <t>FL1134</t>
  </si>
  <si>
    <t>FL1135</t>
  </si>
  <si>
    <t>FL1136</t>
  </si>
  <si>
    <t>FL1137</t>
  </si>
  <si>
    <t>FL1138</t>
  </si>
  <si>
    <t>FL1139</t>
  </si>
  <si>
    <t>FL1140</t>
  </si>
  <si>
    <t>FL1141</t>
  </si>
  <si>
    <t>FL1142</t>
  </si>
  <si>
    <t>FL1143</t>
  </si>
  <si>
    <t>FL1144</t>
  </si>
  <si>
    <t>FL1145</t>
  </si>
  <si>
    <t>FL1146</t>
  </si>
  <si>
    <t>FL1147</t>
  </si>
  <si>
    <t>FL1148</t>
  </si>
  <si>
    <t>FL1149</t>
  </si>
  <si>
    <t>FL1150</t>
  </si>
  <si>
    <t>FL1151</t>
  </si>
  <si>
    <t>FL1152</t>
  </si>
  <si>
    <t>FL1153</t>
  </si>
  <si>
    <t>FL1154</t>
  </si>
  <si>
    <t>FL1155</t>
  </si>
  <si>
    <t>FL1156</t>
  </si>
  <si>
    <t>FL1157</t>
  </si>
  <si>
    <t>FL1158</t>
  </si>
  <si>
    <t>FL1159</t>
  </si>
  <si>
    <t>FL1160</t>
  </si>
  <si>
    <t>FL1161</t>
  </si>
  <si>
    <t>FL1162</t>
  </si>
  <si>
    <t>FL1163</t>
  </si>
  <si>
    <t>FL1164</t>
  </si>
  <si>
    <t>FL1165</t>
  </si>
  <si>
    <t>FL1166</t>
  </si>
  <si>
    <t>FL1167</t>
  </si>
  <si>
    <t>FL1168</t>
  </si>
  <si>
    <t>FL1169</t>
  </si>
  <si>
    <t>FL1170</t>
  </si>
  <si>
    <t>FL1171</t>
  </si>
  <si>
    <t>FL1172</t>
  </si>
  <si>
    <t>FL1173</t>
  </si>
  <si>
    <t>FL1174</t>
  </si>
  <si>
    <t>FL1175</t>
  </si>
  <si>
    <t>FL1176</t>
  </si>
  <si>
    <t>FL1177</t>
  </si>
  <si>
    <t>FL1178</t>
  </si>
  <si>
    <t>FL1179</t>
  </si>
  <si>
    <t>FL1180</t>
  </si>
  <si>
    <t>FL1181</t>
  </si>
  <si>
    <t>FL1182</t>
  </si>
  <si>
    <t>FL1183</t>
  </si>
  <si>
    <t>FL1184</t>
  </si>
  <si>
    <t>FL1185</t>
  </si>
  <si>
    <t>FL1186</t>
  </si>
  <si>
    <t>FL1187</t>
  </si>
  <si>
    <t>FL1188</t>
  </si>
  <si>
    <t>FL1189</t>
  </si>
  <si>
    <t>FL1190</t>
  </si>
  <si>
    <t>FL1191</t>
  </si>
  <si>
    <t>FL1192</t>
  </si>
  <si>
    <t>FL1193</t>
  </si>
  <si>
    <t>FL1194</t>
  </si>
  <si>
    <t>FL1195</t>
  </si>
  <si>
    <t>FL1196</t>
  </si>
  <si>
    <t>FL1197</t>
  </si>
  <si>
    <t>FL1198</t>
  </si>
  <si>
    <t>FL1199</t>
  </si>
  <si>
    <t>FL1200</t>
  </si>
  <si>
    <t>FL1201</t>
  </si>
  <si>
    <t>FL1202</t>
  </si>
  <si>
    <t>FL1203</t>
  </si>
  <si>
    <t>FL1204</t>
  </si>
  <si>
    <t>FL1205</t>
  </si>
  <si>
    <t>FL1206</t>
  </si>
  <si>
    <t>FL1207</t>
  </si>
  <si>
    <t>FL1208</t>
  </si>
  <si>
    <t>FL1209</t>
  </si>
  <si>
    <t>FL1210</t>
  </si>
  <si>
    <t>FL1211</t>
  </si>
  <si>
    <t>FL1212</t>
  </si>
  <si>
    <t>FL1213</t>
  </si>
  <si>
    <t>FL1214</t>
  </si>
  <si>
    <t>FL1215</t>
  </si>
  <si>
    <t>FL1216</t>
  </si>
  <si>
    <t>FL1217</t>
  </si>
  <si>
    <t>FL1218</t>
  </si>
  <si>
    <t>FL1219</t>
  </si>
  <si>
    <t>FL1220</t>
  </si>
  <si>
    <t>FL1221</t>
  </si>
  <si>
    <t>FL1222</t>
  </si>
  <si>
    <t>FL1223</t>
  </si>
  <si>
    <t>FL1224</t>
  </si>
  <si>
    <t>FL1225</t>
  </si>
  <si>
    <t>FL1226</t>
  </si>
  <si>
    <t>FL1227</t>
  </si>
  <si>
    <t>FL1228</t>
  </si>
  <si>
    <t>FL1229</t>
  </si>
  <si>
    <t>FL1230</t>
  </si>
  <si>
    <t>FL1231</t>
  </si>
  <si>
    <t>FL1232</t>
  </si>
  <si>
    <t>FL1233</t>
  </si>
  <si>
    <t>FL1234</t>
  </si>
  <si>
    <t>FL1235</t>
  </si>
  <si>
    <t>FL1236</t>
  </si>
  <si>
    <t>FL1237</t>
  </si>
  <si>
    <t>FL1238</t>
  </si>
  <si>
    <t>FL1239</t>
  </si>
  <si>
    <t>FL1240</t>
  </si>
  <si>
    <t>FL1241</t>
  </si>
  <si>
    <t>FL1242</t>
  </si>
  <si>
    <t>FL1243</t>
  </si>
  <si>
    <t>FL1244</t>
  </si>
  <si>
    <t>FL1245</t>
  </si>
  <si>
    <t>FL1246</t>
  </si>
  <si>
    <t>FL1247</t>
  </si>
  <si>
    <t>FL1248</t>
  </si>
  <si>
    <t>FL1249</t>
  </si>
  <si>
    <t>FL1250</t>
  </si>
  <si>
    <t>FL1251</t>
  </si>
  <si>
    <t>FL1252</t>
  </si>
  <si>
    <t>FL1253</t>
  </si>
  <si>
    <t>FL1254</t>
  </si>
  <si>
    <t>FL1255</t>
  </si>
  <si>
    <t>FL1256</t>
  </si>
  <si>
    <t>FL1257</t>
  </si>
  <si>
    <t>FL1258</t>
  </si>
  <si>
    <t>FL1259</t>
  </si>
  <si>
    <t>FL1260</t>
  </si>
  <si>
    <t>FL1261</t>
  </si>
  <si>
    <t>FL1262</t>
  </si>
  <si>
    <t>FL1263</t>
  </si>
  <si>
    <t>FL1264</t>
  </si>
  <si>
    <t>FL1265</t>
  </si>
  <si>
    <t>FL1266</t>
  </si>
  <si>
    <t>FL1267</t>
  </si>
  <si>
    <t>FL1268</t>
  </si>
  <si>
    <t>FL1269</t>
  </si>
  <si>
    <t>FL1270</t>
  </si>
  <si>
    <t>FL1271</t>
  </si>
  <si>
    <t>FL1272</t>
  </si>
  <si>
    <t>FL1273</t>
  </si>
  <si>
    <t>FL1274</t>
  </si>
  <si>
    <t>FL1275</t>
  </si>
  <si>
    <t>FL1276</t>
  </si>
  <si>
    <t>FL1277</t>
  </si>
  <si>
    <t>FL1278</t>
  </si>
  <si>
    <t>FL1279</t>
  </si>
  <si>
    <t>FL1280</t>
  </si>
  <si>
    <t>FL1281</t>
  </si>
  <si>
    <t>FL1282</t>
  </si>
  <si>
    <t>FL1283</t>
  </si>
  <si>
    <t>FL1284</t>
  </si>
  <si>
    <t>FL1285</t>
  </si>
  <si>
    <t>FL1286</t>
  </si>
  <si>
    <t>FL1287</t>
  </si>
  <si>
    <t>FL1288</t>
  </si>
  <si>
    <t>FL1289</t>
  </si>
  <si>
    <t>FL1290</t>
  </si>
  <si>
    <t>FL1291</t>
  </si>
  <si>
    <t>FL1292</t>
  </si>
  <si>
    <t>FL1293</t>
  </si>
  <si>
    <t>FL1294</t>
  </si>
  <si>
    <t>FL1295</t>
  </si>
  <si>
    <t>FL1296</t>
  </si>
  <si>
    <t>FL1297</t>
  </si>
  <si>
    <t>FL1298</t>
  </si>
  <si>
    <t>FL1299</t>
  </si>
  <si>
    <t>FL1300</t>
  </si>
  <si>
    <t>FL1301</t>
  </si>
  <si>
    <t>FL1302</t>
  </si>
  <si>
    <t>FL1303</t>
  </si>
  <si>
    <t>FL1304</t>
  </si>
  <si>
    <t>FL1305</t>
  </si>
  <si>
    <t>FL1306</t>
  </si>
  <si>
    <t>FL1307</t>
  </si>
  <si>
    <t>FL1308</t>
  </si>
  <si>
    <t>FL1309</t>
  </si>
  <si>
    <t>FL1310</t>
  </si>
  <si>
    <t>FL1311</t>
  </si>
  <si>
    <t>FL1312</t>
  </si>
  <si>
    <t>FL1313</t>
  </si>
  <si>
    <t>FL1314</t>
  </si>
  <si>
    <t>FL1315</t>
  </si>
  <si>
    <t>FL1316</t>
  </si>
  <si>
    <t>FL1317</t>
  </si>
  <si>
    <t>FL1318</t>
  </si>
  <si>
    <t>FL1319</t>
  </si>
  <si>
    <t>FL1320</t>
  </si>
  <si>
    <t>FL1321</t>
  </si>
  <si>
    <t>FL1322</t>
  </si>
  <si>
    <t>FL1323</t>
  </si>
  <si>
    <t>FL1324</t>
  </si>
  <si>
    <t>FL1325</t>
  </si>
  <si>
    <t>FL1326</t>
  </si>
  <si>
    <t>FL1327</t>
  </si>
  <si>
    <t>FL1328</t>
  </si>
  <si>
    <t>FL1329</t>
  </si>
  <si>
    <t>FL1330</t>
  </si>
  <si>
    <t>FL1331</t>
  </si>
  <si>
    <t>FL1332</t>
  </si>
  <si>
    <t>FL1333</t>
  </si>
  <si>
    <t>FL1334</t>
  </si>
  <si>
    <t>FL1335</t>
  </si>
  <si>
    <t>FL1336</t>
  </si>
  <si>
    <t>FL1337</t>
  </si>
  <si>
    <t>FL1338</t>
  </si>
  <si>
    <t>FL1339</t>
  </si>
  <si>
    <t>FL1340</t>
  </si>
  <si>
    <t>FL1341</t>
  </si>
  <si>
    <t>FL1342</t>
  </si>
  <si>
    <t>FL1343</t>
  </si>
  <si>
    <t>FL1344</t>
  </si>
  <si>
    <t>FL1345</t>
  </si>
  <si>
    <t>FL1346</t>
  </si>
  <si>
    <t>FL1347</t>
  </si>
  <si>
    <t>FL1348</t>
  </si>
  <si>
    <t>FL1349</t>
  </si>
  <si>
    <t>FL1350</t>
  </si>
  <si>
    <t>FL1351</t>
  </si>
  <si>
    <t>FL1352</t>
  </si>
  <si>
    <t>FL1353</t>
  </si>
  <si>
    <t>FL1354</t>
  </si>
  <si>
    <t>FL1355</t>
  </si>
  <si>
    <t>FL1356</t>
  </si>
  <si>
    <t>FL1357</t>
  </si>
  <si>
    <t>FL1358</t>
  </si>
  <si>
    <t>FL1359</t>
  </si>
  <si>
    <t>FL1360</t>
  </si>
  <si>
    <t>FL1361</t>
  </si>
  <si>
    <t>FL1362</t>
  </si>
  <si>
    <t>FL1363</t>
  </si>
  <si>
    <t>FL1364</t>
  </si>
  <si>
    <t>FL1365</t>
  </si>
  <si>
    <t>FL1366</t>
  </si>
  <si>
    <t>FL1367</t>
  </si>
  <si>
    <t>FL1368</t>
  </si>
  <si>
    <t>FL1369</t>
  </si>
  <si>
    <t>FL1370</t>
  </si>
  <si>
    <t>FL1371</t>
  </si>
  <si>
    <t>FL1372</t>
  </si>
  <si>
    <t>FL1373</t>
  </si>
  <si>
    <t>FL1374</t>
  </si>
  <si>
    <t>FL1375</t>
  </si>
  <si>
    <t>FL1376</t>
  </si>
  <si>
    <t>FL1377</t>
  </si>
  <si>
    <t>FL1378</t>
  </si>
  <si>
    <t>FL1379</t>
  </si>
  <si>
    <t>FL1380</t>
  </si>
  <si>
    <t>FL1381</t>
  </si>
  <si>
    <t>FL1382</t>
  </si>
  <si>
    <t>FL1383</t>
  </si>
  <si>
    <t>FL1384</t>
  </si>
  <si>
    <t>FL1385</t>
  </si>
  <si>
    <t>FL1386</t>
  </si>
  <si>
    <t>FL1387</t>
  </si>
  <si>
    <t>FL1388</t>
  </si>
  <si>
    <t>FL1389</t>
  </si>
  <si>
    <t>FL1390</t>
  </si>
  <si>
    <t>FL1391</t>
  </si>
  <si>
    <t>FL1392</t>
  </si>
  <si>
    <t>FL1393</t>
  </si>
  <si>
    <t>FL1394</t>
  </si>
  <si>
    <t>FL1395</t>
  </si>
  <si>
    <t>FL1396</t>
  </si>
  <si>
    <t>FL1397</t>
  </si>
  <si>
    <t>FL1398</t>
  </si>
  <si>
    <t>FL1399</t>
  </si>
  <si>
    <t>FL1400</t>
  </si>
  <si>
    <t>FL1401</t>
  </si>
  <si>
    <t>FL1402</t>
  </si>
  <si>
    <t>FL1403</t>
  </si>
  <si>
    <t>FL1404</t>
  </si>
  <si>
    <t>FL1405</t>
  </si>
  <si>
    <t>FL1406</t>
  </si>
  <si>
    <t>FL1407</t>
  </si>
  <si>
    <t>FL1408</t>
  </si>
  <si>
    <t>FL1409</t>
  </si>
  <si>
    <t>FL1410</t>
  </si>
  <si>
    <t>FL1411</t>
  </si>
  <si>
    <t>FL1412</t>
  </si>
  <si>
    <t>FL1413</t>
  </si>
  <si>
    <t>FL1414</t>
  </si>
  <si>
    <t>FL1415</t>
  </si>
  <si>
    <t>FL1416</t>
  </si>
  <si>
    <t>FL1417</t>
  </si>
  <si>
    <t>FL1418</t>
  </si>
  <si>
    <t>FL1419</t>
  </si>
  <si>
    <t>FL1420</t>
  </si>
  <si>
    <t>FL1421</t>
  </si>
  <si>
    <t>FL1422</t>
  </si>
  <si>
    <t>FL1423</t>
  </si>
  <si>
    <t>FL1424</t>
  </si>
  <si>
    <t>FL1425</t>
  </si>
  <si>
    <t>FL1426</t>
  </si>
  <si>
    <t>FL1427</t>
  </si>
  <si>
    <t>FL1428</t>
  </si>
  <si>
    <t>FL1429</t>
  </si>
  <si>
    <t>FL1430</t>
  </si>
  <si>
    <t>FL1431</t>
  </si>
  <si>
    <t>FL1432</t>
  </si>
  <si>
    <t>FL1433</t>
  </si>
  <si>
    <t>FL1434</t>
  </si>
  <si>
    <t>FL1435</t>
  </si>
  <si>
    <t>FL1436</t>
  </si>
  <si>
    <t>FL1437</t>
  </si>
  <si>
    <t>FL1438</t>
  </si>
  <si>
    <t>FL1439</t>
  </si>
  <si>
    <t>FL1440</t>
  </si>
  <si>
    <t>FL1441</t>
  </si>
  <si>
    <t>FL1442</t>
  </si>
  <si>
    <t>FL1443</t>
  </si>
  <si>
    <t>FL1444</t>
  </si>
  <si>
    <t>FL1445</t>
  </si>
  <si>
    <t>FL1446</t>
  </si>
  <si>
    <t>FL1447</t>
  </si>
  <si>
    <t>FL1448</t>
  </si>
  <si>
    <t>FL1449</t>
  </si>
  <si>
    <t>FL1450</t>
  </si>
  <si>
    <t>FL1451</t>
  </si>
  <si>
    <t>FL1452</t>
  </si>
  <si>
    <t>FL1453</t>
  </si>
  <si>
    <t>FL1454</t>
  </si>
  <si>
    <t>FL1455</t>
  </si>
  <si>
    <t>FL1456</t>
  </si>
  <si>
    <t>FL1457</t>
  </si>
  <si>
    <t>FL1458</t>
  </si>
  <si>
    <t>FL1459</t>
  </si>
  <si>
    <t>FL1460</t>
  </si>
  <si>
    <t>FL1461</t>
  </si>
  <si>
    <t>FL1462</t>
  </si>
  <si>
    <t>FL1463</t>
  </si>
  <si>
    <t>FL1464</t>
  </si>
  <si>
    <t>FL1465</t>
  </si>
  <si>
    <t>FL1466</t>
  </si>
  <si>
    <t>FL1467</t>
  </si>
  <si>
    <t>FL1468</t>
  </si>
  <si>
    <t>FL1469</t>
  </si>
  <si>
    <t>FL1470</t>
  </si>
  <si>
    <t>FL1471</t>
  </si>
  <si>
    <t>FL1472</t>
  </si>
  <si>
    <t>FL1473</t>
  </si>
  <si>
    <t>FL1474</t>
  </si>
  <si>
    <t>FL1475</t>
  </si>
  <si>
    <t>FL1476</t>
  </si>
  <si>
    <t>FL1477</t>
  </si>
  <si>
    <t>FL1478</t>
  </si>
  <si>
    <t>FL1479</t>
  </si>
  <si>
    <t>FL1480</t>
  </si>
  <si>
    <t>FL1481</t>
  </si>
  <si>
    <t>FL1482</t>
  </si>
  <si>
    <t>FL1483</t>
  </si>
  <si>
    <t>FL1484</t>
  </si>
  <si>
    <t>FL1485</t>
  </si>
  <si>
    <t>FL1486</t>
  </si>
  <si>
    <t>FL1487</t>
  </si>
  <si>
    <t>FL1488</t>
  </si>
  <si>
    <t>FL1489</t>
  </si>
  <si>
    <t>FL1490</t>
  </si>
  <si>
    <t>FL1491</t>
  </si>
  <si>
    <t>FL1492</t>
  </si>
  <si>
    <t>FL1493</t>
  </si>
  <si>
    <t>FL1494</t>
  </si>
  <si>
    <t>FL1495</t>
  </si>
  <si>
    <t>FL1496</t>
  </si>
  <si>
    <t>FL1497</t>
  </si>
  <si>
    <t>FL1498</t>
  </si>
  <si>
    <t>FL1499</t>
  </si>
  <si>
    <t>FL1500</t>
  </si>
  <si>
    <t>FL1501</t>
  </si>
  <si>
    <t>FL1502</t>
  </si>
  <si>
    <t>FL1503</t>
  </si>
  <si>
    <t>FL1504</t>
  </si>
  <si>
    <t>FL1505</t>
  </si>
  <si>
    <t>FL1506</t>
  </si>
  <si>
    <t>FL1507</t>
  </si>
  <si>
    <t>FL1508</t>
  </si>
  <si>
    <t>FL1509</t>
  </si>
  <si>
    <t>FL1510</t>
  </si>
  <si>
    <t>FL1511</t>
  </si>
  <si>
    <t>FL1512</t>
  </si>
  <si>
    <t>FL1513</t>
  </si>
  <si>
    <t>FL1514</t>
  </si>
  <si>
    <t>FL1515</t>
  </si>
  <si>
    <t>FL1516</t>
  </si>
  <si>
    <t>FL1517</t>
  </si>
  <si>
    <t>FL1518</t>
  </si>
  <si>
    <t>FL1519</t>
  </si>
  <si>
    <t>FL1520</t>
  </si>
  <si>
    <t>FL1521</t>
  </si>
  <si>
    <t>FL1522</t>
  </si>
  <si>
    <t>FL1523</t>
  </si>
  <si>
    <t>FL1524</t>
  </si>
  <si>
    <t>FL1525</t>
  </si>
  <si>
    <t>FL1526</t>
  </si>
  <si>
    <t>FL1527</t>
  </si>
  <si>
    <t>FL1528</t>
  </si>
  <si>
    <t>FL1529</t>
  </si>
  <si>
    <t>FL1530</t>
  </si>
  <si>
    <t>FL1531</t>
  </si>
  <si>
    <t>FL1532</t>
  </si>
  <si>
    <t>FL1533</t>
  </si>
  <si>
    <t>FL1534</t>
  </si>
  <si>
    <t>FL1535</t>
  </si>
  <si>
    <t>FL1536</t>
  </si>
  <si>
    <t>FL1537</t>
  </si>
  <si>
    <t>FL1538</t>
  </si>
  <si>
    <t>FL1539</t>
  </si>
  <si>
    <t>FL1540</t>
  </si>
  <si>
    <t>FL1541</t>
  </si>
  <si>
    <t>FL1542</t>
  </si>
  <si>
    <t>FL1543</t>
  </si>
  <si>
    <t>FL1544</t>
  </si>
  <si>
    <t>FL1545</t>
  </si>
  <si>
    <t>FL1546</t>
  </si>
  <si>
    <t>FL1547</t>
  </si>
  <si>
    <t>FL1548</t>
  </si>
  <si>
    <t>FL1549</t>
  </si>
  <si>
    <t>FL1550</t>
  </si>
  <si>
    <t>FL1551</t>
  </si>
  <si>
    <t>FL1552</t>
  </si>
  <si>
    <t>FL1553</t>
  </si>
  <si>
    <t>FL1554</t>
  </si>
  <si>
    <t>FL1555</t>
  </si>
  <si>
    <t>FL1556</t>
  </si>
  <si>
    <t>FL1557</t>
  </si>
  <si>
    <t>FL1558</t>
  </si>
  <si>
    <t>FL1559</t>
  </si>
  <si>
    <t>FL1560</t>
  </si>
  <si>
    <t>FL1561</t>
  </si>
  <si>
    <t>FL1562</t>
  </si>
  <si>
    <t>FL1563</t>
  </si>
  <si>
    <t>FL1564</t>
  </si>
  <si>
    <t>FL1565</t>
  </si>
  <si>
    <t>FL1566</t>
  </si>
  <si>
    <t>FL1567</t>
  </si>
  <si>
    <t>FL1568</t>
  </si>
  <si>
    <t>FL1569</t>
  </si>
  <si>
    <t>FL1570</t>
  </si>
  <si>
    <t>FL1571</t>
  </si>
  <si>
    <t>FL1572</t>
  </si>
  <si>
    <t>FL1573</t>
  </si>
  <si>
    <t>FL1574</t>
  </si>
  <si>
    <t>FL1575</t>
  </si>
  <si>
    <t>FL1576</t>
  </si>
  <si>
    <t>FL1577</t>
  </si>
  <si>
    <t>FL1578</t>
  </si>
  <si>
    <t>FL1579</t>
  </si>
  <si>
    <t>FL1580</t>
  </si>
  <si>
    <t>FL1581</t>
  </si>
  <si>
    <t>FL1582</t>
  </si>
  <si>
    <t>FL1583</t>
  </si>
  <si>
    <t>FL1584</t>
  </si>
  <si>
    <t>FL1585</t>
  </si>
  <si>
    <t>FL1586</t>
  </si>
  <si>
    <t>FL1587</t>
  </si>
  <si>
    <t>FL1588</t>
  </si>
  <si>
    <t>FL1589</t>
  </si>
  <si>
    <t>FL1590</t>
  </si>
  <si>
    <t>FL1591</t>
  </si>
  <si>
    <t>FL1592</t>
  </si>
  <si>
    <t>FL1593</t>
  </si>
  <si>
    <t>FL1594</t>
  </si>
  <si>
    <t>FL1595</t>
  </si>
  <si>
    <t>FL1596</t>
  </si>
  <si>
    <t>FL1597</t>
  </si>
  <si>
    <t>FL1598</t>
  </si>
  <si>
    <t>FL1599</t>
  </si>
  <si>
    <t>FL1600</t>
  </si>
  <si>
    <t>FL1601</t>
  </si>
  <si>
    <t>FL1602</t>
  </si>
  <si>
    <t>FL1603</t>
  </si>
  <si>
    <t>FL1604</t>
  </si>
  <si>
    <t>FL1605</t>
  </si>
  <si>
    <t>FL1606</t>
  </si>
  <si>
    <t>FL1607</t>
  </si>
  <si>
    <t>FL1608</t>
  </si>
  <si>
    <t>FL1609</t>
  </si>
  <si>
    <t>FL1610</t>
  </si>
  <si>
    <t>FL1611</t>
  </si>
  <si>
    <t>FL1612</t>
  </si>
  <si>
    <t>FL1613</t>
  </si>
  <si>
    <t>FL1614</t>
  </si>
  <si>
    <t>FL1615</t>
  </si>
  <si>
    <t>FL1616</t>
  </si>
  <si>
    <t>FL1617</t>
  </si>
  <si>
    <t>FL1618</t>
  </si>
  <si>
    <t>FL1619</t>
  </si>
  <si>
    <t>FL1620</t>
  </si>
  <si>
    <t>FL1621</t>
  </si>
  <si>
    <t>FL1622</t>
  </si>
  <si>
    <t>FL1623</t>
  </si>
  <si>
    <t>FL1624</t>
  </si>
  <si>
    <t>FL1625</t>
  </si>
  <si>
    <t>FL1626</t>
  </si>
  <si>
    <t>FL1627</t>
  </si>
  <si>
    <t>FL1628</t>
  </si>
  <si>
    <t>FL1629</t>
  </si>
  <si>
    <t>FL1630</t>
  </si>
  <si>
    <t>FL1631</t>
  </si>
  <si>
    <t>FL1632</t>
  </si>
  <si>
    <t>FL1633</t>
  </si>
  <si>
    <t>FL1634</t>
  </si>
  <si>
    <t>FL1635</t>
  </si>
  <si>
    <t>FL1636</t>
  </si>
  <si>
    <t>FL1637</t>
  </si>
  <si>
    <t>FL1638</t>
  </si>
  <si>
    <t>FL1639</t>
  </si>
  <si>
    <t>FL1640</t>
  </si>
  <si>
    <t>FL1641</t>
  </si>
  <si>
    <t>FL1642</t>
  </si>
  <si>
    <t>FL1643</t>
  </si>
  <si>
    <t>FL1644</t>
  </si>
  <si>
    <t>FL1645</t>
  </si>
  <si>
    <t>FL1646</t>
  </si>
  <si>
    <t>FL1647</t>
  </si>
  <si>
    <t>FL1648</t>
  </si>
  <si>
    <t>FL1649</t>
  </si>
  <si>
    <t>FL1650</t>
  </si>
  <si>
    <t>FL1651</t>
  </si>
  <si>
    <t>FL1652</t>
  </si>
  <si>
    <t>FL1653</t>
  </si>
  <si>
    <t>FL1654</t>
  </si>
  <si>
    <t>FL1655</t>
  </si>
  <si>
    <t>FL1656</t>
  </si>
  <si>
    <t>FL1657</t>
  </si>
  <si>
    <t>FL1658</t>
  </si>
  <si>
    <t>FL1659</t>
  </si>
  <si>
    <t>FL1660</t>
  </si>
  <si>
    <t>FL1661</t>
  </si>
  <si>
    <t>FL1662</t>
  </si>
  <si>
    <t>FL1663</t>
  </si>
  <si>
    <t>FL1664</t>
  </si>
  <si>
    <t>FL1665</t>
  </si>
  <si>
    <t>FL1666</t>
  </si>
  <si>
    <t>FL1667</t>
  </si>
  <si>
    <t>FL1668</t>
  </si>
  <si>
    <t>FL1669</t>
  </si>
  <si>
    <t>FL1670</t>
  </si>
  <si>
    <t>FL1671</t>
  </si>
  <si>
    <t>FL1672</t>
  </si>
  <si>
    <t>FL1673</t>
  </si>
  <si>
    <t>FL1674</t>
  </si>
  <si>
    <t>FL1675</t>
  </si>
  <si>
    <t>FL1676</t>
  </si>
  <si>
    <t>FL1677</t>
  </si>
  <si>
    <t>FL1678</t>
  </si>
  <si>
    <t>FL1679</t>
  </si>
  <si>
    <t>FL1680</t>
  </si>
  <si>
    <t>FL1681</t>
  </si>
  <si>
    <t>FL1682</t>
  </si>
  <si>
    <t>FL1683</t>
  </si>
  <si>
    <t>FL1684</t>
  </si>
  <si>
    <t>FL1685</t>
  </si>
  <si>
    <t>FL1686</t>
  </si>
  <si>
    <t>FL1687</t>
  </si>
  <si>
    <t>FL1688</t>
  </si>
  <si>
    <t>FL1689</t>
  </si>
  <si>
    <t>FL1690</t>
  </si>
  <si>
    <t>FL1691</t>
  </si>
  <si>
    <t>FL1692</t>
  </si>
  <si>
    <t>FL1693</t>
  </si>
  <si>
    <t>FL1694</t>
  </si>
  <si>
    <t>FL1695</t>
  </si>
  <si>
    <t>FL1696</t>
  </si>
  <si>
    <t>FL1697</t>
  </si>
  <si>
    <t>FL1698</t>
  </si>
  <si>
    <t>FL1699</t>
  </si>
  <si>
    <t>FL1700</t>
  </si>
  <si>
    <t>FL1701</t>
  </si>
  <si>
    <t>FL1702</t>
  </si>
  <si>
    <t>FL1703</t>
  </si>
  <si>
    <t>FL1704</t>
  </si>
  <si>
    <t>FL1705</t>
  </si>
  <si>
    <t>FL1706</t>
  </si>
  <si>
    <t>FL1707</t>
  </si>
  <si>
    <t>FL1708</t>
  </si>
  <si>
    <t>FL1709</t>
  </si>
  <si>
    <t>FL1710</t>
  </si>
  <si>
    <t>FL1711</t>
  </si>
  <si>
    <t>FL1712</t>
  </si>
  <si>
    <t>FL1713</t>
  </si>
  <si>
    <t>FL1714</t>
  </si>
  <si>
    <t>FL1715</t>
  </si>
  <si>
    <t>FL1716</t>
  </si>
  <si>
    <t>FL1717</t>
  </si>
  <si>
    <t>FL1718</t>
  </si>
  <si>
    <t>FL1719</t>
  </si>
  <si>
    <t>FL1720</t>
  </si>
  <si>
    <t>FL1721</t>
  </si>
  <si>
    <t>FL1722</t>
  </si>
  <si>
    <t>FL1723</t>
  </si>
  <si>
    <t>FL1724</t>
  </si>
  <si>
    <t>FL1725</t>
  </si>
  <si>
    <t>FL1726</t>
  </si>
  <si>
    <t>FL1727</t>
  </si>
  <si>
    <t>FL1728</t>
  </si>
  <si>
    <t>FL1729</t>
  </si>
  <si>
    <t>FL1730</t>
  </si>
  <si>
    <t>FL1731</t>
  </si>
  <si>
    <t>FL1732</t>
  </si>
  <si>
    <t>FL1733</t>
  </si>
  <si>
    <t>FL1734</t>
  </si>
  <si>
    <t>FL1735</t>
  </si>
  <si>
    <t>FL1736</t>
  </si>
  <si>
    <t>FL1737</t>
  </si>
  <si>
    <t>FL1738</t>
  </si>
  <si>
    <t>FL1739</t>
  </si>
  <si>
    <t>FL1740</t>
  </si>
  <si>
    <t>FL1741</t>
  </si>
  <si>
    <t>FL1742</t>
  </si>
  <si>
    <t>FL1743</t>
  </si>
  <si>
    <t>FL1744</t>
  </si>
  <si>
    <t>FL1745</t>
  </si>
  <si>
    <t>FL1746</t>
  </si>
  <si>
    <t>FL1747</t>
  </si>
  <si>
    <t>FL1748</t>
  </si>
  <si>
    <t>FL1749</t>
  </si>
  <si>
    <t>FL1750</t>
  </si>
  <si>
    <t>FL1751</t>
  </si>
  <si>
    <t>FL1752</t>
  </si>
  <si>
    <t>FL1753</t>
  </si>
  <si>
    <t>FL1754</t>
  </si>
  <si>
    <t>FL1755</t>
  </si>
  <si>
    <t>FL1756</t>
  </si>
  <si>
    <t>FL1757</t>
  </si>
  <si>
    <t>FL1758</t>
  </si>
  <si>
    <t>FL1759</t>
  </si>
  <si>
    <t>FL1760</t>
  </si>
  <si>
    <t>FL1761</t>
  </si>
  <si>
    <t>FL1762</t>
  </si>
  <si>
    <t>FL1763</t>
  </si>
  <si>
    <t>FL1764</t>
  </si>
  <si>
    <t>FL1765</t>
  </si>
  <si>
    <t>FL1766</t>
  </si>
  <si>
    <t>FL1767</t>
  </si>
  <si>
    <t>FL1768</t>
  </si>
  <si>
    <t>FL1769</t>
  </si>
  <si>
    <t>FL1770</t>
  </si>
  <si>
    <t>FL1771</t>
  </si>
  <si>
    <t>FL1772</t>
  </si>
  <si>
    <t>FL1773</t>
  </si>
  <si>
    <t>FL1774</t>
  </si>
  <si>
    <t>FL1775</t>
  </si>
  <si>
    <t>FL1776</t>
  </si>
  <si>
    <t>FL1777</t>
  </si>
  <si>
    <t>FL1778</t>
  </si>
  <si>
    <t>FL1779</t>
  </si>
  <si>
    <t>FL1780</t>
  </si>
  <si>
    <t>FL1781</t>
  </si>
  <si>
    <t>FL1782</t>
  </si>
  <si>
    <t>FL1783</t>
  </si>
  <si>
    <t>FL1784</t>
  </si>
  <si>
    <t>FL1785</t>
  </si>
  <si>
    <t>FL1786</t>
  </si>
  <si>
    <t>FL1787</t>
  </si>
  <si>
    <t>FL1788</t>
  </si>
  <si>
    <t>FL1789</t>
  </si>
  <si>
    <t>FL1790</t>
  </si>
  <si>
    <t>FL1791</t>
  </si>
  <si>
    <t>FL1792</t>
  </si>
  <si>
    <t>FL1793</t>
  </si>
  <si>
    <t>FL1794</t>
  </si>
  <si>
    <t>FL1795</t>
  </si>
  <si>
    <t>FL1796</t>
  </si>
  <si>
    <t>FL1797</t>
  </si>
  <si>
    <t>FL1798</t>
  </si>
  <si>
    <t>FL1799</t>
  </si>
  <si>
    <t>FL1800</t>
  </si>
  <si>
    <t>FL1801</t>
  </si>
  <si>
    <t>FL1802</t>
  </si>
  <si>
    <t>FL1803</t>
  </si>
  <si>
    <t>FL1804</t>
  </si>
  <si>
    <t>FL1805</t>
  </si>
  <si>
    <t>FL1806</t>
  </si>
  <si>
    <t>FL1807</t>
  </si>
  <si>
    <t>FL1808</t>
  </si>
  <si>
    <t>FL1809</t>
  </si>
  <si>
    <t>FL1810</t>
  </si>
  <si>
    <t>FL1811</t>
  </si>
  <si>
    <t>FL1812</t>
  </si>
  <si>
    <t>FL1813</t>
  </si>
  <si>
    <t>FL1814</t>
  </si>
  <si>
    <t>FL1815</t>
  </si>
  <si>
    <t>FL1816</t>
  </si>
  <si>
    <t>FL1817</t>
  </si>
  <si>
    <t>FL1818</t>
  </si>
  <si>
    <t>FL1819</t>
  </si>
  <si>
    <t>FL1820</t>
  </si>
  <si>
    <t>FL1821</t>
  </si>
  <si>
    <t>FL1822</t>
  </si>
  <si>
    <t>FL1823</t>
  </si>
  <si>
    <t>FL1824</t>
  </si>
  <si>
    <t>FL1825</t>
  </si>
  <si>
    <t>FL1826</t>
  </si>
  <si>
    <t>FL1827</t>
  </si>
  <si>
    <t>FL1828</t>
  </si>
  <si>
    <t>FL1829</t>
  </si>
  <si>
    <t>FL1830</t>
  </si>
  <si>
    <t>FL1831</t>
  </si>
  <si>
    <t>FL1832</t>
  </si>
  <si>
    <t>FL1833</t>
  </si>
  <si>
    <t>FL1834</t>
  </si>
  <si>
    <t>FL1835</t>
  </si>
  <si>
    <t>FL1836</t>
  </si>
  <si>
    <t>FL1837</t>
  </si>
  <si>
    <t>FL1838</t>
  </si>
  <si>
    <t>FL1839</t>
  </si>
  <si>
    <t>FL1840</t>
  </si>
  <si>
    <t>FL1841</t>
  </si>
  <si>
    <t>FL1842</t>
  </si>
  <si>
    <t>FL1843</t>
  </si>
  <si>
    <t>FL1844</t>
  </si>
  <si>
    <t>FL1845</t>
  </si>
  <si>
    <t>FL1846</t>
  </si>
  <si>
    <t>FL1847</t>
  </si>
  <si>
    <t>FL1848</t>
  </si>
  <si>
    <t>FL1849</t>
  </si>
  <si>
    <t>FL1850</t>
  </si>
  <si>
    <t>FL1851</t>
  </si>
  <si>
    <t>FL1852</t>
  </si>
  <si>
    <t>FL1853</t>
  </si>
  <si>
    <t>FL1854</t>
  </si>
  <si>
    <t>FL1855</t>
  </si>
  <si>
    <t>FL1856</t>
  </si>
  <si>
    <t>FL1857</t>
  </si>
  <si>
    <t>FL1858</t>
  </si>
  <si>
    <t>FL1859</t>
  </si>
  <si>
    <t>FL1860</t>
  </si>
  <si>
    <t>FL1861</t>
  </si>
  <si>
    <t>FL1862</t>
  </si>
  <si>
    <t>FL1863</t>
  </si>
  <si>
    <t>FL1864</t>
  </si>
  <si>
    <t>FL1865</t>
  </si>
  <si>
    <t>FL1866</t>
  </si>
  <si>
    <t>FL1867</t>
  </si>
  <si>
    <t>FL1868</t>
  </si>
  <si>
    <t>FL1869</t>
  </si>
  <si>
    <t>FL1870</t>
  </si>
  <si>
    <t>FL1871</t>
  </si>
  <si>
    <t>FL1872</t>
  </si>
  <si>
    <t>FL1873</t>
  </si>
  <si>
    <t>FL1874</t>
  </si>
  <si>
    <t>FL1875</t>
  </si>
  <si>
    <t>FL1876</t>
  </si>
  <si>
    <t>FL1877</t>
  </si>
  <si>
    <t>FL1878</t>
  </si>
  <si>
    <t>FL1879</t>
  </si>
  <si>
    <t>FL1880</t>
  </si>
  <si>
    <t>FL1881</t>
  </si>
  <si>
    <t>FL1882</t>
  </si>
  <si>
    <t>FL1883</t>
  </si>
  <si>
    <t>FL1884</t>
  </si>
  <si>
    <t>FL1885</t>
  </si>
  <si>
    <t>FL1886</t>
  </si>
  <si>
    <t>FL1887</t>
  </si>
  <si>
    <t>FL1888</t>
  </si>
  <si>
    <t>FL1889</t>
  </si>
  <si>
    <t>FL1890</t>
  </si>
  <si>
    <t>FL1891</t>
  </si>
  <si>
    <t>FL1892</t>
  </si>
  <si>
    <t>FL1893</t>
  </si>
  <si>
    <t>FL1894</t>
  </si>
  <si>
    <t>FL1895</t>
  </si>
  <si>
    <t>FL1896</t>
  </si>
  <si>
    <t>FL1897</t>
  </si>
  <si>
    <t>FL1898</t>
  </si>
  <si>
    <t>FL1899</t>
  </si>
  <si>
    <t>FL1900</t>
  </si>
  <si>
    <t>FL1901</t>
  </si>
  <si>
    <t>FL1902</t>
  </si>
  <si>
    <t>FL1903</t>
  </si>
  <si>
    <t>FL1904</t>
  </si>
  <si>
    <t>FL1905</t>
  </si>
  <si>
    <t>FL1906</t>
  </si>
  <si>
    <t>FL1907</t>
  </si>
  <si>
    <t>FL1908</t>
  </si>
  <si>
    <t>FL1909</t>
  </si>
  <si>
    <t>FL1910</t>
  </si>
  <si>
    <t>FL1911</t>
  </si>
  <si>
    <t>FL1912</t>
  </si>
  <si>
    <t>FL1913</t>
  </si>
  <si>
    <t>FL1914</t>
  </si>
  <si>
    <t>FL1915</t>
  </si>
  <si>
    <t>FL1916</t>
  </si>
  <si>
    <t>FL1917</t>
  </si>
  <si>
    <t>FL1918</t>
  </si>
  <si>
    <t>FL1919</t>
  </si>
  <si>
    <t>FL1920</t>
  </si>
  <si>
    <t>FL1921</t>
  </si>
  <si>
    <t>FL1922</t>
  </si>
  <si>
    <t>FL1923</t>
  </si>
  <si>
    <t>FL1924</t>
  </si>
  <si>
    <t>FL1925</t>
  </si>
  <si>
    <t>FL1926</t>
  </si>
  <si>
    <t>FL1927</t>
  </si>
  <si>
    <t>FL1928</t>
  </si>
  <si>
    <t>FL1929</t>
  </si>
  <si>
    <t>FL1930</t>
  </si>
  <si>
    <t>FL1931</t>
  </si>
  <si>
    <t>FL1932</t>
  </si>
  <si>
    <t>FL1933</t>
  </si>
  <si>
    <t>FL1934</t>
  </si>
  <si>
    <t>FL1935</t>
  </si>
  <si>
    <t>FL1936</t>
  </si>
  <si>
    <t>FL1937</t>
  </si>
  <si>
    <t>FL1938</t>
  </si>
  <si>
    <t>FL1939</t>
  </si>
  <si>
    <t>FL1940</t>
  </si>
  <si>
    <t>FL1941</t>
  </si>
  <si>
    <t>FL1942</t>
  </si>
  <si>
    <t>FL1943</t>
  </si>
  <si>
    <t>FL1944</t>
  </si>
  <si>
    <t>FL1945</t>
  </si>
  <si>
    <t>FL1946</t>
  </si>
  <si>
    <t>FL1947</t>
  </si>
  <si>
    <t>FL1948</t>
  </si>
  <si>
    <t>FL1949</t>
  </si>
  <si>
    <t>FL1950</t>
  </si>
  <si>
    <t>FL1951</t>
  </si>
  <si>
    <t>FL1952</t>
  </si>
  <si>
    <t>FL1953</t>
  </si>
  <si>
    <t>FL1954</t>
  </si>
  <si>
    <t>FL1955</t>
  </si>
  <si>
    <t>FL1956</t>
  </si>
  <si>
    <t>FL1957</t>
  </si>
  <si>
    <t>FL1958</t>
  </si>
  <si>
    <t>FL1959</t>
  </si>
  <si>
    <t>FL1960</t>
  </si>
  <si>
    <t>FL1961</t>
  </si>
  <si>
    <t>FL1962</t>
  </si>
  <si>
    <t>FL1963</t>
  </si>
  <si>
    <t>FL1964</t>
  </si>
  <si>
    <t>FL1965</t>
  </si>
  <si>
    <t>FL1966</t>
  </si>
  <si>
    <t>FL1967</t>
  </si>
  <si>
    <t>FL1968</t>
  </si>
  <si>
    <t>FL1969</t>
  </si>
  <si>
    <t>FL1970</t>
  </si>
  <si>
    <t>FL1971</t>
  </si>
  <si>
    <t>FL1972</t>
  </si>
  <si>
    <t>FL1973</t>
  </si>
  <si>
    <t>FL1974</t>
  </si>
  <si>
    <t>FL1975</t>
  </si>
  <si>
    <t>FL1976</t>
  </si>
  <si>
    <t>FL1977</t>
  </si>
  <si>
    <t>FL1978</t>
  </si>
  <si>
    <t>FL1979</t>
  </si>
  <si>
    <t>FL1980</t>
  </si>
  <si>
    <t>FL1981</t>
  </si>
  <si>
    <t>FL1982</t>
  </si>
  <si>
    <t>FL1983</t>
  </si>
  <si>
    <t>FL1984</t>
  </si>
  <si>
    <t>FL1985</t>
  </si>
  <si>
    <t>FL1986</t>
  </si>
  <si>
    <t>FL1987</t>
  </si>
  <si>
    <t>FL1988</t>
  </si>
  <si>
    <t>FL1989</t>
  </si>
  <si>
    <t>FL1990</t>
  </si>
  <si>
    <t>FL1991</t>
  </si>
  <si>
    <t>FL1992</t>
  </si>
  <si>
    <t>FL1993</t>
  </si>
  <si>
    <t>FL1994</t>
  </si>
  <si>
    <t>FL1995</t>
  </si>
  <si>
    <t>FL1996</t>
  </si>
  <si>
    <t>FL1997</t>
  </si>
  <si>
    <t>FL1998</t>
  </si>
  <si>
    <t>FL1999</t>
  </si>
  <si>
    <t>Flight_ID</t>
  </si>
  <si>
    <t>Takeoff_Location</t>
  </si>
  <si>
    <t>Destination</t>
  </si>
  <si>
    <t>Flight_Duration</t>
  </si>
  <si>
    <t>Altitude</t>
  </si>
  <si>
    <t>Longitde</t>
  </si>
  <si>
    <t>Latitude</t>
  </si>
  <si>
    <t>Fuel_Consumption</t>
  </si>
  <si>
    <t>Ticket_Price</t>
  </si>
  <si>
    <t>Passenger_Count</t>
  </si>
  <si>
    <t>Route</t>
  </si>
  <si>
    <t>Row Labels</t>
  </si>
  <si>
    <t>Chicago → Dubai</t>
  </si>
  <si>
    <t>Chicago → London</t>
  </si>
  <si>
    <t>Chicago → Paris</t>
  </si>
  <si>
    <t>Chicago → Sydney</t>
  </si>
  <si>
    <t>Chicago → Tokyo</t>
  </si>
  <si>
    <t>Houston → Dubai</t>
  </si>
  <si>
    <t>Houston → London</t>
  </si>
  <si>
    <t>Houston → Paris</t>
  </si>
  <si>
    <t>Houston → Sydney</t>
  </si>
  <si>
    <t>Houston → Tokyo</t>
  </si>
  <si>
    <t>Los Angeles → Dubai</t>
  </si>
  <si>
    <t>Los Angeles → London</t>
  </si>
  <si>
    <t>Los Angeles → Paris</t>
  </si>
  <si>
    <t>Los Angeles → Sydney</t>
  </si>
  <si>
    <t>Los Angeles → Tokyo</t>
  </si>
  <si>
    <t>Miami → Dubai</t>
  </si>
  <si>
    <t>Miami → London</t>
  </si>
  <si>
    <t>Miami → Paris</t>
  </si>
  <si>
    <t>Miami → Sydney</t>
  </si>
  <si>
    <t>Miami → Tokyo</t>
  </si>
  <si>
    <t>New York → Dubai</t>
  </si>
  <si>
    <t>New York → London</t>
  </si>
  <si>
    <t>New York → Paris</t>
  </si>
  <si>
    <t>New York → Sydney</t>
  </si>
  <si>
    <t>New York → Tokyo</t>
  </si>
  <si>
    <t>Grand Total</t>
  </si>
  <si>
    <t>Average of Fuel_Consumption</t>
  </si>
  <si>
    <t>Fuel Consumption</t>
  </si>
  <si>
    <t>Average of Ticket_Price</t>
  </si>
  <si>
    <t>Avg Passenger Count</t>
  </si>
  <si>
    <t>Price_per_Hour</t>
  </si>
  <si>
    <t>Average of Price_per_Hour</t>
  </si>
  <si>
    <t>Revenue</t>
  </si>
  <si>
    <t>Sum of Revenue</t>
  </si>
  <si>
    <t>Count of Flight_ID</t>
  </si>
  <si>
    <t>Routes</t>
  </si>
  <si>
    <t>Average Altitude</t>
  </si>
  <si>
    <t>Average of Passenger_Count</t>
  </si>
  <si>
    <t>Count of Destination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</si>
</sst>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5" formatCode="[$$-409]#,##0"/>
    <numFmt numFmtId="166" formatCode="[$$-45C]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Segoe UI"/>
      <family val="2"/>
    </font>
    <font>
      <sz val="11"/>
      <color theme="3"/>
      <name val="Calibri"/>
      <family val="2"/>
      <scheme val="minor"/>
    </font>
    <font>
      <sz val="12"/>
      <color rgb="FF000000"/>
      <name val="Constantia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3273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0" fontId="16" fillId="0" borderId="0" xfId="0" applyFont="1"/>
    <xf numFmtId="165" fontId="0" fillId="0" borderId="0" xfId="0" applyNumberFormat="1"/>
    <xf numFmtId="0" fontId="18" fillId="0" borderId="0" xfId="0" applyFont="1"/>
    <xf numFmtId="3" fontId="0" fillId="0" borderId="0" xfId="0" applyNumberFormat="1"/>
    <xf numFmtId="166" fontId="0" fillId="0" borderId="0" xfId="0" applyNumberFormat="1"/>
    <xf numFmtId="0" fontId="19" fillId="33" borderId="0" xfId="0" applyFont="1" applyFill="1"/>
    <xf numFmtId="0" fontId="0" fillId="33" borderId="0" xfId="0" applyFill="1"/>
    <xf numFmtId="3" fontId="0" fillId="33" borderId="0" xfId="0" applyNumberFormat="1" applyFill="1"/>
    <xf numFmtId="2" fontId="0" fillId="33" borderId="0" xfId="0" applyNumberFormat="1" applyFill="1"/>
    <xf numFmtId="0" fontId="0" fillId="0" borderId="0" xfId="0" applyNumberFormat="1"/>
    <xf numFmtId="0" fontId="0" fillId="34" borderId="0" xfId="0" applyFill="1"/>
    <xf numFmtId="0" fontId="20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3" formatCode="#,##0"/>
    </dxf>
    <dxf>
      <numFmt numFmtId="2" formatCode="0.00"/>
    </dxf>
    <dxf>
      <numFmt numFmtId="2" formatCode="0.00"/>
    </dxf>
    <dxf>
      <numFmt numFmtId="1" formatCode="0"/>
    </dxf>
    <dxf>
      <numFmt numFmtId="2" formatCode="0.00"/>
    </dxf>
    <dxf>
      <numFmt numFmtId="2" formatCode="0.00"/>
    </dxf>
    <dxf>
      <numFmt numFmtId="166" formatCode="[$$-45C]#,##0.00"/>
    </dxf>
    <dxf>
      <numFmt numFmtId="3" formatCode="#,##0"/>
    </dxf>
  </dxfs>
  <tableStyles count="0" defaultTableStyle="TableStyleMedium2" defaultPivotStyle="PivotStyleLight16"/>
  <colors>
    <mruColors>
      <color rgb="FF004D74"/>
      <color rgb="FFB3E4FF"/>
      <color rgb="FF85D3FF"/>
      <color rgb="FF00B4D8"/>
      <color rgb="FF003554"/>
      <color rgb="FF006DA4"/>
      <color rgb="FF03273C"/>
      <color rgb="FFCAF0F8"/>
      <color rgb="FF0077B6"/>
      <color rgb="FFFF74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[Aviation_Data.xlsx]Analysis!PivotTable1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  <a:latin typeface="Constantia" panose="02030602050306030303" pitchFamily="18" charset="0"/>
              </a:rPr>
              <a:t>Routes</a:t>
            </a:r>
            <a:r>
              <a:rPr lang="en-US" b="1" baseline="0">
                <a:solidFill>
                  <a:schemeClr val="tx1"/>
                </a:solidFill>
                <a:latin typeface="Constantia" panose="02030602050306030303" pitchFamily="18" charset="0"/>
              </a:rPr>
              <a:t> by Fuel Consumption &amp; Passenger Count</a:t>
            </a:r>
            <a:endParaRPr lang="en-US" b="1">
              <a:solidFill>
                <a:schemeClr val="tx1"/>
              </a:solidFill>
              <a:latin typeface="Constantia" panose="02030602050306030303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4D7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Analysis!$B$3</c:f>
              <c:strCache>
                <c:ptCount val="1"/>
                <c:pt idx="0">
                  <c:v>Fuel Consumption</c:v>
                </c:pt>
              </c:strCache>
            </c:strRef>
          </c:tx>
          <c:spPr>
            <a:solidFill>
              <a:srgbClr val="004D74"/>
            </a:solidFill>
            <a:ln>
              <a:noFill/>
            </a:ln>
            <a:effectLst/>
          </c:spPr>
          <c:invertIfNegative val="0"/>
          <c:cat>
            <c:strRef>
              <c:f>Analysis!$A$4:$A$29</c:f>
              <c:strCache>
                <c:ptCount val="25"/>
                <c:pt idx="0">
                  <c:v>Chicago → Dubai</c:v>
                </c:pt>
                <c:pt idx="1">
                  <c:v>Chicago → London</c:v>
                </c:pt>
                <c:pt idx="2">
                  <c:v>Chicago → Paris</c:v>
                </c:pt>
                <c:pt idx="3">
                  <c:v>Chicago → Sydney</c:v>
                </c:pt>
                <c:pt idx="4">
                  <c:v>Chicago → Tokyo</c:v>
                </c:pt>
                <c:pt idx="5">
                  <c:v>Houston → Dubai</c:v>
                </c:pt>
                <c:pt idx="6">
                  <c:v>Houston → London</c:v>
                </c:pt>
                <c:pt idx="7">
                  <c:v>Houston → Paris</c:v>
                </c:pt>
                <c:pt idx="8">
                  <c:v>Houston → Sydney</c:v>
                </c:pt>
                <c:pt idx="9">
                  <c:v>Houston → Tokyo</c:v>
                </c:pt>
                <c:pt idx="10">
                  <c:v>Los Angeles → Dubai</c:v>
                </c:pt>
                <c:pt idx="11">
                  <c:v>Los Angeles → London</c:v>
                </c:pt>
                <c:pt idx="12">
                  <c:v>Los Angeles → Paris</c:v>
                </c:pt>
                <c:pt idx="13">
                  <c:v>Los Angeles → Sydney</c:v>
                </c:pt>
                <c:pt idx="14">
                  <c:v>Los Angeles → Tokyo</c:v>
                </c:pt>
                <c:pt idx="15">
                  <c:v>Miami → Dubai</c:v>
                </c:pt>
                <c:pt idx="16">
                  <c:v>Miami → London</c:v>
                </c:pt>
                <c:pt idx="17">
                  <c:v>Miami → Paris</c:v>
                </c:pt>
                <c:pt idx="18">
                  <c:v>Miami → Sydney</c:v>
                </c:pt>
                <c:pt idx="19">
                  <c:v>Miami → Tokyo</c:v>
                </c:pt>
                <c:pt idx="20">
                  <c:v>New York → Dubai</c:v>
                </c:pt>
                <c:pt idx="21">
                  <c:v>New York → London</c:v>
                </c:pt>
                <c:pt idx="22">
                  <c:v>New York → Paris</c:v>
                </c:pt>
                <c:pt idx="23">
                  <c:v>New York → Sydney</c:v>
                </c:pt>
                <c:pt idx="24">
                  <c:v>New York → Tokyo</c:v>
                </c:pt>
              </c:strCache>
            </c:strRef>
          </c:cat>
          <c:val>
            <c:numRef>
              <c:f>Analysis!$B$4:$B$29</c:f>
              <c:numCache>
                <c:formatCode>0.00</c:formatCode>
                <c:ptCount val="25"/>
                <c:pt idx="0">
                  <c:v>2636.2</c:v>
                </c:pt>
                <c:pt idx="1">
                  <c:v>2678.2580645161293</c:v>
                </c:pt>
                <c:pt idx="2">
                  <c:v>2928.3</c:v>
                </c:pt>
                <c:pt idx="3">
                  <c:v>2678.2105263157896</c:v>
                </c:pt>
                <c:pt idx="4">
                  <c:v>2583.1463414634145</c:v>
                </c:pt>
                <c:pt idx="5">
                  <c:v>2500</c:v>
                </c:pt>
                <c:pt idx="6">
                  <c:v>2846.0851063829787</c:v>
                </c:pt>
                <c:pt idx="7">
                  <c:v>2647.0227272727275</c:v>
                </c:pt>
                <c:pt idx="8">
                  <c:v>2500</c:v>
                </c:pt>
                <c:pt idx="9">
                  <c:v>2550</c:v>
                </c:pt>
                <c:pt idx="10">
                  <c:v>2794.0540540540542</c:v>
                </c:pt>
                <c:pt idx="11">
                  <c:v>2760.4761904761904</c:v>
                </c:pt>
                <c:pt idx="12">
                  <c:v>2882.1714285714284</c:v>
                </c:pt>
                <c:pt idx="13">
                  <c:v>3000</c:v>
                </c:pt>
                <c:pt idx="14">
                  <c:v>2586.6111111111113</c:v>
                </c:pt>
                <c:pt idx="15">
                  <c:v>2700</c:v>
                </c:pt>
                <c:pt idx="16">
                  <c:v>2615.217391304348</c:v>
                </c:pt>
                <c:pt idx="17">
                  <c:v>2718.3157894736842</c:v>
                </c:pt>
                <c:pt idx="18">
                  <c:v>2931.4615384615386</c:v>
                </c:pt>
                <c:pt idx="19">
                  <c:v>2729.0930232558139</c:v>
                </c:pt>
                <c:pt idx="20">
                  <c:v>2588.1142857142859</c:v>
                </c:pt>
                <c:pt idx="21">
                  <c:v>2760</c:v>
                </c:pt>
                <c:pt idx="22">
                  <c:v>2847.3518518518517</c:v>
                </c:pt>
                <c:pt idx="23">
                  <c:v>2800</c:v>
                </c:pt>
                <c:pt idx="24">
                  <c:v>2954.1666666666665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8A-42D4-B19A-CE98A71C2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32462239"/>
        <c:axId val="1932468959"/>
      </c:barChart>
      <c:lineChart>
        <c:grouping val="standard"/>
        <c:varyColors val="0"/>
        <c:ser>
          <c:idx val="1"/>
          <c:order val="1"/>
          <c:tx>
            <c:strRef>
              <c:f>Analysis!$C$3</c:f>
              <c:strCache>
                <c:ptCount val="1"/>
                <c:pt idx="0">
                  <c:v>Avg Passenger 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Analysis!$A$4:$A$29</c:f>
              <c:strCache>
                <c:ptCount val="25"/>
                <c:pt idx="0">
                  <c:v>Chicago → Dubai</c:v>
                </c:pt>
                <c:pt idx="1">
                  <c:v>Chicago → London</c:v>
                </c:pt>
                <c:pt idx="2">
                  <c:v>Chicago → Paris</c:v>
                </c:pt>
                <c:pt idx="3">
                  <c:v>Chicago → Sydney</c:v>
                </c:pt>
                <c:pt idx="4">
                  <c:v>Chicago → Tokyo</c:v>
                </c:pt>
                <c:pt idx="5">
                  <c:v>Houston → Dubai</c:v>
                </c:pt>
                <c:pt idx="6">
                  <c:v>Houston → London</c:v>
                </c:pt>
                <c:pt idx="7">
                  <c:v>Houston → Paris</c:v>
                </c:pt>
                <c:pt idx="8">
                  <c:v>Houston → Sydney</c:v>
                </c:pt>
                <c:pt idx="9">
                  <c:v>Houston → Tokyo</c:v>
                </c:pt>
                <c:pt idx="10">
                  <c:v>Los Angeles → Dubai</c:v>
                </c:pt>
                <c:pt idx="11">
                  <c:v>Los Angeles → London</c:v>
                </c:pt>
                <c:pt idx="12">
                  <c:v>Los Angeles → Paris</c:v>
                </c:pt>
                <c:pt idx="13">
                  <c:v>Los Angeles → Sydney</c:v>
                </c:pt>
                <c:pt idx="14">
                  <c:v>Los Angeles → Tokyo</c:v>
                </c:pt>
                <c:pt idx="15">
                  <c:v>Miami → Dubai</c:v>
                </c:pt>
                <c:pt idx="16">
                  <c:v>Miami → London</c:v>
                </c:pt>
                <c:pt idx="17">
                  <c:v>Miami → Paris</c:v>
                </c:pt>
                <c:pt idx="18">
                  <c:v>Miami → Sydney</c:v>
                </c:pt>
                <c:pt idx="19">
                  <c:v>Miami → Tokyo</c:v>
                </c:pt>
                <c:pt idx="20">
                  <c:v>New York → Dubai</c:v>
                </c:pt>
                <c:pt idx="21">
                  <c:v>New York → London</c:v>
                </c:pt>
                <c:pt idx="22">
                  <c:v>New York → Paris</c:v>
                </c:pt>
                <c:pt idx="23">
                  <c:v>New York → Sydney</c:v>
                </c:pt>
                <c:pt idx="24">
                  <c:v>New York → Tokyo</c:v>
                </c:pt>
              </c:strCache>
            </c:strRef>
          </c:cat>
          <c:val>
            <c:numRef>
              <c:f>Analysis!$C$4:$C$29</c:f>
              <c:numCache>
                <c:formatCode>0</c:formatCode>
                <c:ptCount val="25"/>
                <c:pt idx="0">
                  <c:v>114.3</c:v>
                </c:pt>
                <c:pt idx="1">
                  <c:v>116.3225806451613</c:v>
                </c:pt>
                <c:pt idx="2">
                  <c:v>121.425</c:v>
                </c:pt>
                <c:pt idx="3">
                  <c:v>137.15789473684211</c:v>
                </c:pt>
                <c:pt idx="4">
                  <c:v>133.19512195121951</c:v>
                </c:pt>
                <c:pt idx="5">
                  <c:v>111.05128205128206</c:v>
                </c:pt>
                <c:pt idx="6">
                  <c:v>138</c:v>
                </c:pt>
                <c:pt idx="7">
                  <c:v>113.36363636363636</c:v>
                </c:pt>
                <c:pt idx="8">
                  <c:v>127.23809523809524</c:v>
                </c:pt>
                <c:pt idx="9">
                  <c:v>120.29411764705883</c:v>
                </c:pt>
                <c:pt idx="10">
                  <c:v>113.08108108108108</c:v>
                </c:pt>
                <c:pt idx="11">
                  <c:v>131.14285714285714</c:v>
                </c:pt>
                <c:pt idx="12">
                  <c:v>125</c:v>
                </c:pt>
                <c:pt idx="13">
                  <c:v>145.125</c:v>
                </c:pt>
                <c:pt idx="14">
                  <c:v>119.02777777777777</c:v>
                </c:pt>
                <c:pt idx="15">
                  <c:v>128.31578947368422</c:v>
                </c:pt>
                <c:pt idx="16">
                  <c:v>121.26086956521739</c:v>
                </c:pt>
                <c:pt idx="17">
                  <c:v>115.26315789473684</c:v>
                </c:pt>
                <c:pt idx="18">
                  <c:v>105.25641025641026</c:v>
                </c:pt>
                <c:pt idx="19">
                  <c:v>126.55813953488372</c:v>
                </c:pt>
                <c:pt idx="20">
                  <c:v>134.17142857142858</c:v>
                </c:pt>
                <c:pt idx="21">
                  <c:v>107.46153846153847</c:v>
                </c:pt>
                <c:pt idx="22">
                  <c:v>122.22222222222223</c:v>
                </c:pt>
                <c:pt idx="23">
                  <c:v>120.43478260869566</c:v>
                </c:pt>
                <c:pt idx="24">
                  <c:v>128.05555555555554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8A-42D4-B19A-CE98A71C2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2466079"/>
        <c:axId val="1932465119"/>
      </c:lineChart>
      <c:catAx>
        <c:axId val="1932462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32468959"/>
        <c:crosses val="autoZero"/>
        <c:auto val="1"/>
        <c:lblAlgn val="ctr"/>
        <c:lblOffset val="100"/>
        <c:noMultiLvlLbl val="0"/>
      </c:catAx>
      <c:valAx>
        <c:axId val="1932468959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32462239"/>
        <c:crosses val="autoZero"/>
        <c:crossBetween val="between"/>
      </c:valAx>
      <c:valAx>
        <c:axId val="1932465119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32466079"/>
        <c:crosses val="max"/>
        <c:crossBetween val="between"/>
      </c:valAx>
      <c:catAx>
        <c:axId val="19324660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324651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[Aviation_Data.xlsx]Analysis!PivotTable6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  <a:latin typeface="Constantia" panose="02030602050306030303" pitchFamily="18" charset="0"/>
              </a:rPr>
              <a:t>Routes</a:t>
            </a:r>
            <a:r>
              <a:rPr lang="en-US" b="1" baseline="0">
                <a:solidFill>
                  <a:sysClr val="windowText" lastClr="000000"/>
                </a:solidFill>
                <a:latin typeface="Constantia" panose="02030602050306030303" pitchFamily="18" charset="0"/>
              </a:rPr>
              <a:t> by Avg Altitude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4D7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4D74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9816426231392607"/>
          <c:y val="0.15799787007454738"/>
          <c:w val="0.6417464605245512"/>
          <c:h val="0.743180968193672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Analysis!$B$78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D74"/>
            </a:solidFill>
            <a:ln>
              <a:noFill/>
            </a:ln>
            <a:effectLst/>
          </c:spPr>
          <c:invertIfNegative val="0"/>
          <c:cat>
            <c:strRef>
              <c:f>Analysis!$A$79:$A$104</c:f>
              <c:strCache>
                <c:ptCount val="25"/>
                <c:pt idx="0">
                  <c:v>Chicago → Dubai</c:v>
                </c:pt>
                <c:pt idx="1">
                  <c:v>Chicago → London</c:v>
                </c:pt>
                <c:pt idx="2">
                  <c:v>Chicago → Paris</c:v>
                </c:pt>
                <c:pt idx="3">
                  <c:v>Chicago → Sydney</c:v>
                </c:pt>
                <c:pt idx="4">
                  <c:v>Chicago → Tokyo</c:v>
                </c:pt>
                <c:pt idx="5">
                  <c:v>Houston → Dubai</c:v>
                </c:pt>
                <c:pt idx="6">
                  <c:v>Houston → London</c:v>
                </c:pt>
                <c:pt idx="7">
                  <c:v>Houston → Paris</c:v>
                </c:pt>
                <c:pt idx="8">
                  <c:v>Houston → Sydney</c:v>
                </c:pt>
                <c:pt idx="9">
                  <c:v>Houston → Tokyo</c:v>
                </c:pt>
                <c:pt idx="10">
                  <c:v>Los Angeles → Dubai</c:v>
                </c:pt>
                <c:pt idx="11">
                  <c:v>Los Angeles → London</c:v>
                </c:pt>
                <c:pt idx="12">
                  <c:v>Los Angeles → Paris</c:v>
                </c:pt>
                <c:pt idx="13">
                  <c:v>Los Angeles → Sydney</c:v>
                </c:pt>
                <c:pt idx="14">
                  <c:v>Los Angeles → Tokyo</c:v>
                </c:pt>
                <c:pt idx="15">
                  <c:v>Miami → Dubai</c:v>
                </c:pt>
                <c:pt idx="16">
                  <c:v>Miami → London</c:v>
                </c:pt>
                <c:pt idx="17">
                  <c:v>Miami → Paris</c:v>
                </c:pt>
                <c:pt idx="18">
                  <c:v>Miami → Sydney</c:v>
                </c:pt>
                <c:pt idx="19">
                  <c:v>Miami → Tokyo</c:v>
                </c:pt>
                <c:pt idx="20">
                  <c:v>New York → Dubai</c:v>
                </c:pt>
                <c:pt idx="21">
                  <c:v>New York → London</c:v>
                </c:pt>
                <c:pt idx="22">
                  <c:v>New York → Paris</c:v>
                </c:pt>
                <c:pt idx="23">
                  <c:v>New York → Sydney</c:v>
                </c:pt>
                <c:pt idx="24">
                  <c:v>New York → Tokyo</c:v>
                </c:pt>
              </c:strCache>
            </c:strRef>
          </c:cat>
          <c:val>
            <c:numRef>
              <c:f>Analysis!$B$79:$B$104</c:f>
              <c:numCache>
                <c:formatCode>#,##0</c:formatCode>
                <c:ptCount val="25"/>
                <c:pt idx="0">
                  <c:v>30850</c:v>
                </c:pt>
                <c:pt idx="1">
                  <c:v>31096.774193548386</c:v>
                </c:pt>
                <c:pt idx="2">
                  <c:v>31500</c:v>
                </c:pt>
                <c:pt idx="3">
                  <c:v>31236.842105263157</c:v>
                </c:pt>
                <c:pt idx="4">
                  <c:v>31731.707317073171</c:v>
                </c:pt>
                <c:pt idx="5">
                  <c:v>31333.333333333332</c:v>
                </c:pt>
                <c:pt idx="6">
                  <c:v>30531.91489361702</c:v>
                </c:pt>
                <c:pt idx="7">
                  <c:v>31068.18181818182</c:v>
                </c:pt>
                <c:pt idx="8">
                  <c:v>31142.857142857141</c:v>
                </c:pt>
                <c:pt idx="9">
                  <c:v>30882.352941176472</c:v>
                </c:pt>
                <c:pt idx="10">
                  <c:v>31000</c:v>
                </c:pt>
                <c:pt idx="11">
                  <c:v>31119.047619047618</c:v>
                </c:pt>
                <c:pt idx="12">
                  <c:v>30542.857142857141</c:v>
                </c:pt>
                <c:pt idx="13">
                  <c:v>30625</c:v>
                </c:pt>
                <c:pt idx="14">
                  <c:v>30611.111111111109</c:v>
                </c:pt>
                <c:pt idx="15">
                  <c:v>31315.78947368421</c:v>
                </c:pt>
                <c:pt idx="16">
                  <c:v>31021.739130434784</c:v>
                </c:pt>
                <c:pt idx="17">
                  <c:v>31026.315789473683</c:v>
                </c:pt>
                <c:pt idx="18">
                  <c:v>31487.179487179488</c:v>
                </c:pt>
                <c:pt idx="19">
                  <c:v>31116.279069767443</c:v>
                </c:pt>
                <c:pt idx="20">
                  <c:v>30800</c:v>
                </c:pt>
                <c:pt idx="21">
                  <c:v>31564.102564102563</c:v>
                </c:pt>
                <c:pt idx="22">
                  <c:v>30981.481481481482</c:v>
                </c:pt>
                <c:pt idx="23">
                  <c:v>31021.739130434784</c:v>
                </c:pt>
                <c:pt idx="24">
                  <c:v>30833.333333333332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3F-4013-867B-00C0A65A9749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10666591"/>
        <c:axId val="710664671"/>
      </c:barChart>
      <c:catAx>
        <c:axId val="710666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10664671"/>
        <c:crosses val="autoZero"/>
        <c:auto val="1"/>
        <c:lblAlgn val="ctr"/>
        <c:lblOffset val="100"/>
        <c:noMultiLvlLbl val="0"/>
      </c:catAx>
      <c:valAx>
        <c:axId val="710664671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10666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[Aviation_Data.xlsx]Analysis!PivotTable2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  <a:latin typeface="Constantia" panose="02030602050306030303" pitchFamily="18" charset="0"/>
              </a:rPr>
              <a:t>Altitude by Avg Fuel Consumption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004D74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Analysis!$B$32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4D74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Analysis!$A$33:$A$36</c:f>
              <c:strCache>
                <c:ptCount val="3"/>
                <c:pt idx="0">
                  <c:v>30000</c:v>
                </c:pt>
                <c:pt idx="1">
                  <c:v>32000</c:v>
                </c:pt>
                <c:pt idx="2">
                  <c:v>35000</c:v>
                </c:pt>
              </c:strCache>
            </c:strRef>
          </c:cat>
          <c:val>
            <c:numRef>
              <c:f>Analysis!$B$33:$B$36</c:f>
              <c:numCache>
                <c:formatCode>0.00</c:formatCode>
                <c:ptCount val="3"/>
                <c:pt idx="0">
                  <c:v>2738.4442877291963</c:v>
                </c:pt>
                <c:pt idx="1">
                  <c:v>2610.121212121212</c:v>
                </c:pt>
                <c:pt idx="2">
                  <c:v>2798.4150943396226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21-4F21-990B-9A67ACC54DA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32464159"/>
        <c:axId val="1932443039"/>
      </c:lineChart>
      <c:catAx>
        <c:axId val="1932464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Altitude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32443039"/>
        <c:crosses val="autoZero"/>
        <c:auto val="1"/>
        <c:lblAlgn val="ctr"/>
        <c:lblOffset val="100"/>
        <c:noMultiLvlLbl val="0"/>
      </c:catAx>
      <c:valAx>
        <c:axId val="1932443039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932464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[Aviation_Data.xlsx]Analysis!PivotTable3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  <a:latin typeface="Constantia" panose="02030602050306030303" pitchFamily="18" charset="0"/>
              </a:rPr>
              <a:t>Destination by</a:t>
            </a:r>
            <a:r>
              <a:rPr lang="en-US" b="1" baseline="0">
                <a:solidFill>
                  <a:sysClr val="windowText" lastClr="000000"/>
                </a:solidFill>
                <a:latin typeface="Constantia" panose="02030602050306030303" pitchFamily="18" charset="0"/>
              </a:rPr>
              <a:t> Avg Ticket Price</a:t>
            </a:r>
            <a:endParaRPr lang="en-US" b="1">
              <a:solidFill>
                <a:sysClr val="windowText" lastClr="000000"/>
              </a:solidFill>
              <a:latin typeface="Constantia" panose="02030602050306030303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4D7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D7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Analysis!$A$43:$A$48</c:f>
              <c:strCache>
                <c:ptCount val="5"/>
                <c:pt idx="0">
                  <c:v>Dubai</c:v>
                </c:pt>
                <c:pt idx="1">
                  <c:v>London</c:v>
                </c:pt>
                <c:pt idx="2">
                  <c:v>Paris</c:v>
                </c:pt>
                <c:pt idx="3">
                  <c:v>Sydney</c:v>
                </c:pt>
                <c:pt idx="4">
                  <c:v>Tokyo</c:v>
                </c:pt>
              </c:strCache>
            </c:strRef>
          </c:cat>
          <c:val>
            <c:numRef>
              <c:f>Analysis!$B$43:$B$48</c:f>
              <c:numCache>
                <c:formatCode>0.00</c:formatCode>
                <c:ptCount val="5"/>
                <c:pt idx="0">
                  <c:v>402.12698412698415</c:v>
                </c:pt>
                <c:pt idx="1">
                  <c:v>374.19512195121951</c:v>
                </c:pt>
                <c:pt idx="2">
                  <c:v>354</c:v>
                </c:pt>
                <c:pt idx="3">
                  <c:v>356.00975609756097</c:v>
                </c:pt>
                <c:pt idx="4">
                  <c:v>397.49473684210528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EB-490F-A262-157AC27E59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36839871"/>
        <c:axId val="1936847071"/>
      </c:barChart>
      <c:catAx>
        <c:axId val="1936839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36847071"/>
        <c:crosses val="autoZero"/>
        <c:auto val="1"/>
        <c:lblAlgn val="ctr"/>
        <c:lblOffset val="100"/>
        <c:noMultiLvlLbl val="0"/>
      </c:catAx>
      <c:valAx>
        <c:axId val="1936847071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936839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[Aviation_Data.xlsx]Analysis!PivotTable4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  <a:latin typeface="Constantia" panose="02030602050306030303" pitchFamily="18" charset="0"/>
              </a:rPr>
              <a:t>Count</a:t>
            </a:r>
            <a:r>
              <a:rPr lang="en-US" b="1" baseline="0">
                <a:solidFill>
                  <a:sysClr val="windowText" lastClr="000000"/>
                </a:solidFill>
                <a:latin typeface="Constantia" panose="02030602050306030303" pitchFamily="18" charset="0"/>
              </a:rPr>
              <a:t> of Destination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4D7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Analysis!$B$54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D7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Analysis!$A$55:$A$60</c:f>
              <c:strCache>
                <c:ptCount val="5"/>
                <c:pt idx="0">
                  <c:v>Dubai</c:v>
                </c:pt>
                <c:pt idx="1">
                  <c:v>London</c:v>
                </c:pt>
                <c:pt idx="2">
                  <c:v>Paris</c:v>
                </c:pt>
                <c:pt idx="3">
                  <c:v>Sydney</c:v>
                </c:pt>
                <c:pt idx="4">
                  <c:v>Tokyo</c:v>
                </c:pt>
              </c:strCache>
            </c:strRef>
          </c:cat>
          <c:val>
            <c:numRef>
              <c:f>Analysis!$B$55:$B$60</c:f>
              <c:numCache>
                <c:formatCode>General</c:formatCode>
                <c:ptCount val="5"/>
                <c:pt idx="0">
                  <c:v>189</c:v>
                </c:pt>
                <c:pt idx="1">
                  <c:v>205</c:v>
                </c:pt>
                <c:pt idx="2">
                  <c:v>211</c:v>
                </c:pt>
                <c:pt idx="3">
                  <c:v>205</c:v>
                </c:pt>
                <c:pt idx="4">
                  <c:v>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29-4E27-921F-A7F4DF0223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36858591"/>
        <c:axId val="1936841311"/>
      </c:barChart>
      <c:catAx>
        <c:axId val="1936858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36841311"/>
        <c:crosses val="autoZero"/>
        <c:auto val="1"/>
        <c:lblAlgn val="ctr"/>
        <c:lblOffset val="100"/>
        <c:noMultiLvlLbl val="0"/>
      </c:catAx>
      <c:valAx>
        <c:axId val="193684131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36858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[Aviation_Data.xlsx]Analysis!PivotTable8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>
                <a:solidFill>
                  <a:sysClr val="windowText" lastClr="000000"/>
                </a:solidFill>
                <a:latin typeface="Constantia" panose="02030602050306030303" pitchFamily="18" charset="0"/>
              </a:rPr>
              <a:t>Revenue by Destination</a:t>
            </a:r>
          </a:p>
        </c:rich>
      </c:tx>
      <c:layout>
        <c:manualLayout>
          <c:xMode val="edge"/>
          <c:yMode val="edge"/>
          <c:x val="0.17183727034120735"/>
          <c:y val="8.01457194899817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4D7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4D74"/>
          </a:solidFill>
          <a:ln>
            <a:noFill/>
          </a:ln>
          <a:effectLst/>
        </c:spPr>
        <c:dLbl>
          <c:idx val="0"/>
          <c:layout>
            <c:manualLayout>
              <c:x val="-8.1300786985216388E-3"/>
              <c:y val="1.489757914338926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168390254020148"/>
          <c:y val="0.29862197392923651"/>
          <c:w val="0.65319420869527922"/>
          <c:h val="0.6417877094972066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Analysis!$B$137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D74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8.1300786985216388E-3"/>
                  <c:y val="1.489757914338926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2DD-46E7-A5ED-A90322C91D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Analysis!$A$138:$A$143</c:f>
              <c:strCache>
                <c:ptCount val="5"/>
                <c:pt idx="0">
                  <c:v>Dubai</c:v>
                </c:pt>
                <c:pt idx="1">
                  <c:v>London</c:v>
                </c:pt>
                <c:pt idx="2">
                  <c:v>Paris</c:v>
                </c:pt>
                <c:pt idx="3">
                  <c:v>Sydney</c:v>
                </c:pt>
                <c:pt idx="4">
                  <c:v>Tokyo</c:v>
                </c:pt>
              </c:strCache>
            </c:strRef>
          </c:cat>
          <c:val>
            <c:numRef>
              <c:f>Analysis!$B$138:$B$143</c:f>
              <c:numCache>
                <c:formatCode>[$$-409]#,##0</c:formatCode>
                <c:ptCount val="5"/>
                <c:pt idx="0">
                  <c:v>9044892</c:v>
                </c:pt>
                <c:pt idx="1">
                  <c:v>9321130</c:v>
                </c:pt>
                <c:pt idx="2">
                  <c:v>8793066</c:v>
                </c:pt>
                <c:pt idx="3">
                  <c:v>9359868</c:v>
                </c:pt>
                <c:pt idx="4">
                  <c:v>9449707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DD-46E7-A5ED-A90322C91D0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38559759"/>
        <c:axId val="638579439"/>
      </c:barChart>
      <c:catAx>
        <c:axId val="638559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38579439"/>
        <c:crosses val="autoZero"/>
        <c:auto val="1"/>
        <c:lblAlgn val="ctr"/>
        <c:lblOffset val="100"/>
        <c:noMultiLvlLbl val="0"/>
      </c:catAx>
      <c:valAx>
        <c:axId val="638579439"/>
        <c:scaling>
          <c:orientation val="minMax"/>
        </c:scaling>
        <c:delete val="1"/>
        <c:axPos val="b"/>
        <c:numFmt formatCode="[$$-409]#,##0" sourceLinked="1"/>
        <c:majorTickMark val="none"/>
        <c:minorTickMark val="none"/>
        <c:tickLblPos val="nextTo"/>
        <c:crossAx val="638559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466724</xdr:colOff>
      <xdr:row>3</xdr:row>
      <xdr:rowOff>66675</xdr:rowOff>
    </xdr:from>
    <xdr:to>
      <xdr:col>19</xdr:col>
      <xdr:colOff>38099</xdr:colOff>
      <xdr:row>31</xdr:row>
      <xdr:rowOff>85726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E9F251C5-7EA4-D1BE-B7C8-E7A45AB1608B}"/>
            </a:ext>
          </a:extLst>
        </xdr:cNvPr>
        <xdr:cNvSpPr/>
      </xdr:nvSpPr>
      <xdr:spPr>
        <a:xfrm>
          <a:off x="7781924" y="638175"/>
          <a:ext cx="3838575" cy="5362576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US" sz="2800" b="0" cap="none" spc="0">
            <a:ln w="0"/>
            <a:solidFill>
              <a:schemeClr val="tx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Calibri Bold" panose="020F0702030404030204" pitchFamily="34" charset="0"/>
            <a:ea typeface="Calibri Bold" panose="020F0702030404030204" pitchFamily="34" charset="0"/>
            <a:cs typeface="Calibri Bold" panose="020F0702030404030204" pitchFamily="34" charset="0"/>
          </a:endParaRPr>
        </a:p>
      </xdr:txBody>
    </xdr:sp>
    <xdr:clientData/>
  </xdr:twoCellAnchor>
  <xdr:twoCellAnchor>
    <xdr:from>
      <xdr:col>2</xdr:col>
      <xdr:colOff>28572</xdr:colOff>
      <xdr:row>0</xdr:row>
      <xdr:rowOff>38100</xdr:rowOff>
    </xdr:from>
    <xdr:to>
      <xdr:col>18</xdr:col>
      <xdr:colOff>142875</xdr:colOff>
      <xdr:row>3</xdr:row>
      <xdr:rowOff>0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5D6AD155-8F49-FBBF-5D78-DB584B479CDA}"/>
            </a:ext>
          </a:extLst>
        </xdr:cNvPr>
        <xdr:cNvGrpSpPr/>
      </xdr:nvGrpSpPr>
      <xdr:grpSpPr>
        <a:xfrm>
          <a:off x="1504947" y="38100"/>
          <a:ext cx="9867903" cy="533400"/>
          <a:chOff x="1571622" y="57150"/>
          <a:chExt cx="9906003" cy="533400"/>
        </a:xfrm>
        <a:solidFill>
          <a:srgbClr val="003554"/>
        </a:solidFill>
      </xdr:grpSpPr>
      <xdr:sp macro="" textlink="">
        <xdr:nvSpPr>
          <xdr:cNvPr id="2" name="Rectangle: Rounded Corners 1">
            <a:extLst>
              <a:ext uri="{FF2B5EF4-FFF2-40B4-BE49-F238E27FC236}">
                <a16:creationId xmlns:a16="http://schemas.microsoft.com/office/drawing/2014/main" id="{02C0464E-80A3-AAFF-596C-928BAF1AA260}"/>
              </a:ext>
            </a:extLst>
          </xdr:cNvPr>
          <xdr:cNvSpPr/>
        </xdr:nvSpPr>
        <xdr:spPr>
          <a:xfrm>
            <a:off x="1571622" y="57150"/>
            <a:ext cx="9906003" cy="533400"/>
          </a:xfrm>
          <a:prstGeom prst="roundRect">
            <a:avLst/>
          </a:prstGeom>
          <a:grpFill/>
          <a:ln>
            <a:noFill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3600">
                <a:latin typeface="Times New Roman" panose="02020603050405020304" pitchFamily="18" charset="0"/>
                <a:cs typeface="Times New Roman" panose="02020603050405020304" pitchFamily="18" charset="0"/>
              </a:rPr>
              <a:t>SkyLink Airways Performance</a:t>
            </a:r>
            <a:r>
              <a:rPr lang="en-US" sz="36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Analysis</a:t>
            </a:r>
            <a:endParaRPr lang="en-NG" sz="36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pic>
        <xdr:nvPicPr>
          <xdr:cNvPr id="9" name="Picture 8">
            <a:extLst>
              <a:ext uri="{FF2B5EF4-FFF2-40B4-BE49-F238E27FC236}">
                <a16:creationId xmlns:a16="http://schemas.microsoft.com/office/drawing/2014/main" id="{14BA5300-0DF2-2E7C-72D1-9645D40FD1C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38325" y="151789"/>
            <a:ext cx="742950" cy="419100"/>
          </a:xfrm>
          <a:prstGeom prst="rect">
            <a:avLst/>
          </a:prstGeom>
          <a:grpFill/>
        </xdr:spPr>
      </xdr:pic>
    </xdr:grpSp>
    <xdr:clientData/>
  </xdr:twoCellAnchor>
  <xdr:oneCellAnchor>
    <xdr:from>
      <xdr:col>7</xdr:col>
      <xdr:colOff>514350</xdr:colOff>
      <xdr:row>12</xdr:row>
      <xdr:rowOff>171450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9DFAB0D-E3D1-B386-8F5E-9C744D7CA788}"/>
            </a:ext>
          </a:extLst>
        </xdr:cNvPr>
        <xdr:cNvSpPr txBox="1"/>
      </xdr:nvSpPr>
      <xdr:spPr>
        <a:xfrm>
          <a:off x="4781550" y="245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NG" sz="1100"/>
        </a:p>
      </xdr:txBody>
    </xdr:sp>
    <xdr:clientData/>
  </xdr:oneCellAnchor>
  <xdr:twoCellAnchor>
    <xdr:from>
      <xdr:col>12</xdr:col>
      <xdr:colOff>533400</xdr:colOff>
      <xdr:row>17</xdr:row>
      <xdr:rowOff>38100</xdr:rowOff>
    </xdr:from>
    <xdr:to>
      <xdr:col>19</xdr:col>
      <xdr:colOff>28575</xdr:colOff>
      <xdr:row>31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2A75B5-D319-4C77-8B15-7426FC95BF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38100</xdr:colOff>
      <xdr:row>3</xdr:row>
      <xdr:rowOff>57150</xdr:rowOff>
    </xdr:from>
    <xdr:to>
      <xdr:col>12</xdr:col>
      <xdr:colOff>209550</xdr:colOff>
      <xdr:row>7</xdr:row>
      <xdr:rowOff>95400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E1D0E8C4-8077-9870-DED9-B12A7C430608}"/>
            </a:ext>
          </a:extLst>
        </xdr:cNvPr>
        <xdr:cNvGrpSpPr/>
      </xdr:nvGrpSpPr>
      <xdr:grpSpPr>
        <a:xfrm>
          <a:off x="1514475" y="628650"/>
          <a:ext cx="6267450" cy="800250"/>
          <a:chOff x="1704975" y="657225"/>
          <a:chExt cx="6267450" cy="800250"/>
        </a:xfrm>
      </xdr:grpSpPr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07E8D7F6-EAC4-719F-F855-AC98356A5314}"/>
              </a:ext>
            </a:extLst>
          </xdr:cNvPr>
          <xdr:cNvGrpSpPr/>
        </xdr:nvGrpSpPr>
        <xdr:grpSpPr>
          <a:xfrm>
            <a:off x="1704975" y="666825"/>
            <a:ext cx="1457325" cy="781050"/>
            <a:chOff x="1409700" y="695400"/>
            <a:chExt cx="1790700" cy="781050"/>
          </a:xfrm>
        </xdr:grpSpPr>
        <xdr:sp macro="" textlink="">
          <xdr:nvSpPr>
            <xdr:cNvPr id="4" name="Rectangle: Rounded Corners 3">
              <a:extLst>
                <a:ext uri="{FF2B5EF4-FFF2-40B4-BE49-F238E27FC236}">
                  <a16:creationId xmlns:a16="http://schemas.microsoft.com/office/drawing/2014/main" id="{7CD76328-9EE8-4E63-E02B-311EF60D8DDF}"/>
                </a:ext>
              </a:extLst>
            </xdr:cNvPr>
            <xdr:cNvSpPr/>
          </xdr:nvSpPr>
          <xdr:spPr>
            <a:xfrm>
              <a:off x="1409700" y="695400"/>
              <a:ext cx="1790700" cy="781050"/>
            </a:xfrm>
            <a:prstGeom prst="roundRect">
              <a:avLst/>
            </a:prstGeom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sz="2800" b="0" cap="none" spc="0">
                  <a:ln w="0"/>
                  <a:solidFill>
                    <a:schemeClr val="tx1"/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Calibri Bold" panose="020F0702030404030204" pitchFamily="34" charset="0"/>
                  <a:ea typeface="Calibri Bold" panose="020F0702030404030204" pitchFamily="34" charset="0"/>
                  <a:cs typeface="Calibri Bold" panose="020F0702030404030204" pitchFamily="34" charset="0"/>
                </a:rPr>
                <a:t> </a:t>
              </a:r>
              <a:r>
                <a:rPr lang="en-NG" sz="2800" b="0" i="0" u="none" strike="noStrike" cap="none" spc="0">
                  <a:ln w="0"/>
                  <a:solidFill>
                    <a:schemeClr val="tx1"/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Calibri Bold" panose="020F0702030404030204" pitchFamily="34" charset="0"/>
                  <a:ea typeface="Calibri Bold" panose="020F0702030404030204" pitchFamily="34" charset="0"/>
                  <a:cs typeface="Calibri Bold" panose="020F0702030404030204" pitchFamily="34" charset="0"/>
                </a:rPr>
                <a:t>1000</a:t>
              </a:r>
              <a:r>
                <a:rPr lang="en-NG" sz="2800" b="0" cap="none" spc="0">
                  <a:ln w="0"/>
                  <a:solidFill>
                    <a:schemeClr val="tx1"/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Calibri Bold" panose="020F0702030404030204" pitchFamily="34" charset="0"/>
                  <a:ea typeface="Calibri Bold" panose="020F0702030404030204" pitchFamily="34" charset="0"/>
                  <a:cs typeface="Calibri Bold" panose="020F0702030404030204" pitchFamily="34" charset="0"/>
                </a:rPr>
                <a:t> </a:t>
              </a:r>
              <a:endParaRPr lang="en-US" sz="2800" b="0" cap="none" spc="0">
                <a:ln w="0"/>
                <a:solidFill>
                  <a:schemeClr val="tx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Calibri Bold" panose="020F0702030404030204" pitchFamily="34" charset="0"/>
                <a:ea typeface="Calibri Bold" panose="020F0702030404030204" pitchFamily="34" charset="0"/>
                <a:cs typeface="Calibri Bold" panose="020F0702030404030204" pitchFamily="34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40D1EC20-1CE8-D48F-6E60-C9C832F827B4}"/>
                </a:ext>
              </a:extLst>
            </xdr:cNvPr>
            <xdr:cNvSpPr txBox="1"/>
          </xdr:nvSpPr>
          <xdr:spPr>
            <a:xfrm>
              <a:off x="1714500" y="1147762"/>
              <a:ext cx="1295400" cy="27146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b"/>
            <a:lstStyle/>
            <a:p>
              <a:pPr algn="ctr"/>
              <a:r>
                <a:rPr lang="en-US" sz="1200">
                  <a:solidFill>
                    <a:schemeClr val="tx1"/>
                  </a:solidFill>
                  <a:latin typeface="Constantia" panose="02030602050306030303" pitchFamily="18" charset="0"/>
                </a:rPr>
                <a:t>Total Flights</a:t>
              </a:r>
              <a:endParaRPr lang="en-NG" sz="1200">
                <a:solidFill>
                  <a:schemeClr val="tx1"/>
                </a:solidFill>
                <a:latin typeface="Constantia" panose="02030602050306030303" pitchFamily="18" charset="0"/>
              </a:endParaRPr>
            </a:p>
          </xdr:txBody>
        </xdr:sp>
      </xdr:grpSp>
      <xdr:grpSp>
        <xdr:nvGrpSpPr>
          <xdr:cNvPr id="23" name="Group 22">
            <a:extLst>
              <a:ext uri="{FF2B5EF4-FFF2-40B4-BE49-F238E27FC236}">
                <a16:creationId xmlns:a16="http://schemas.microsoft.com/office/drawing/2014/main" id="{7C3F1169-4716-3BF7-3CDF-E56031284A9E}"/>
              </a:ext>
            </a:extLst>
          </xdr:cNvPr>
          <xdr:cNvGrpSpPr/>
        </xdr:nvGrpSpPr>
        <xdr:grpSpPr>
          <a:xfrm>
            <a:off x="3228975" y="666750"/>
            <a:ext cx="1619250" cy="781200"/>
            <a:chOff x="3295650" y="695175"/>
            <a:chExt cx="1790700" cy="781200"/>
          </a:xfrm>
        </xdr:grpSpPr>
        <xdr:sp macro="" textlink="">
          <xdr:nvSpPr>
            <xdr:cNvPr id="5" name="Rectangle: Rounded Corners 4">
              <a:extLst>
                <a:ext uri="{FF2B5EF4-FFF2-40B4-BE49-F238E27FC236}">
                  <a16:creationId xmlns:a16="http://schemas.microsoft.com/office/drawing/2014/main" id="{8AF9A476-4741-F304-D510-86440202E300}"/>
                </a:ext>
              </a:extLst>
            </xdr:cNvPr>
            <xdr:cNvSpPr/>
          </xdr:nvSpPr>
          <xdr:spPr>
            <a:xfrm>
              <a:off x="3295650" y="695175"/>
              <a:ext cx="1790700" cy="781200"/>
            </a:xfrm>
            <a:prstGeom prst="roundRect">
              <a:avLst/>
            </a:prstGeom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ctr"/>
              <a:r>
                <a:rPr lang="en-NG" sz="2800" b="0" i="0" u="none" strike="noStrike" cap="none" spc="0">
                  <a:ln w="0"/>
                  <a:solidFill>
                    <a:schemeClr val="tx1"/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Calibri Bold" panose="020F0702030404030204" pitchFamily="34" charset="0"/>
                  <a:ea typeface="Calibri Bold" panose="020F0702030404030204" pitchFamily="34" charset="0"/>
                  <a:cs typeface="Calibri Bold" panose="020F0702030404030204" pitchFamily="34" charset="0"/>
                </a:rPr>
                <a:t>123</a:t>
              </a:r>
              <a:r>
                <a:rPr lang="en-NG"/>
                <a:t> </a:t>
              </a:r>
              <a:endParaRPr lang="en-NG" sz="11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2C18B29E-69DD-54FB-8F55-E63804B19B12}"/>
                </a:ext>
              </a:extLst>
            </xdr:cNvPr>
            <xdr:cNvSpPr txBox="1"/>
          </xdr:nvSpPr>
          <xdr:spPr>
            <a:xfrm>
              <a:off x="3319463" y="1152375"/>
              <a:ext cx="1743075" cy="2857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b"/>
            <a:lstStyle/>
            <a:p>
              <a:pPr algn="ctr"/>
              <a:r>
                <a:rPr lang="en-US" sz="1200">
                  <a:solidFill>
                    <a:schemeClr val="tx1"/>
                  </a:solidFill>
                  <a:latin typeface="Constantia" panose="02030602050306030303" pitchFamily="18" charset="0"/>
                  <a:ea typeface="+mn-ea"/>
                  <a:cs typeface="+mn-cs"/>
                </a:rPr>
                <a:t>Avg</a:t>
              </a:r>
              <a:r>
                <a:rPr lang="en-US" sz="1100"/>
                <a:t> </a:t>
              </a:r>
              <a:r>
                <a:rPr lang="en-US" sz="1200">
                  <a:solidFill>
                    <a:schemeClr val="tx1"/>
                  </a:solidFill>
                  <a:latin typeface="Constantia" panose="02030602050306030303" pitchFamily="18" charset="0"/>
                  <a:ea typeface="+mn-ea"/>
                  <a:cs typeface="+mn-cs"/>
                </a:rPr>
                <a:t>Passenger</a:t>
              </a:r>
              <a:r>
                <a:rPr lang="en-US" sz="1100"/>
                <a:t> </a:t>
              </a:r>
              <a:r>
                <a:rPr lang="en-US" sz="1200">
                  <a:solidFill>
                    <a:schemeClr val="tx1"/>
                  </a:solidFill>
                  <a:latin typeface="Constantia" panose="02030602050306030303" pitchFamily="18" charset="0"/>
                  <a:ea typeface="+mn-ea"/>
                  <a:cs typeface="+mn-cs"/>
                </a:rPr>
                <a:t>Count</a:t>
              </a:r>
              <a:endParaRPr lang="en-NG" sz="1200">
                <a:solidFill>
                  <a:schemeClr val="tx1"/>
                </a:solidFill>
                <a:latin typeface="Constantia" panose="02030602050306030303" pitchFamily="18" charset="0"/>
                <a:ea typeface="+mn-ea"/>
                <a:cs typeface="+mn-cs"/>
              </a:endParaRPr>
            </a:p>
          </xdr:txBody>
        </xdr:sp>
      </xdr:grpSp>
      <xdr:grpSp>
        <xdr:nvGrpSpPr>
          <xdr:cNvPr id="25" name="Group 24">
            <a:extLst>
              <a:ext uri="{FF2B5EF4-FFF2-40B4-BE49-F238E27FC236}">
                <a16:creationId xmlns:a16="http://schemas.microsoft.com/office/drawing/2014/main" id="{FE0D381E-85F5-507E-B147-91BC30FA330E}"/>
              </a:ext>
            </a:extLst>
          </xdr:cNvPr>
          <xdr:cNvGrpSpPr/>
        </xdr:nvGrpSpPr>
        <xdr:grpSpPr>
          <a:xfrm>
            <a:off x="6534150" y="676275"/>
            <a:ext cx="1438275" cy="781200"/>
            <a:chOff x="6276974" y="666750"/>
            <a:chExt cx="1990725" cy="781200"/>
          </a:xfrm>
        </xdr:grpSpPr>
        <xdr:sp macro="" textlink="">
          <xdr:nvSpPr>
            <xdr:cNvPr id="7" name="Rectangle: Rounded Corners 6">
              <a:extLst>
                <a:ext uri="{FF2B5EF4-FFF2-40B4-BE49-F238E27FC236}">
                  <a16:creationId xmlns:a16="http://schemas.microsoft.com/office/drawing/2014/main" id="{B0B75FD7-ECDC-2925-585D-EBC3905B4033}"/>
                </a:ext>
              </a:extLst>
            </xdr:cNvPr>
            <xdr:cNvSpPr/>
          </xdr:nvSpPr>
          <xdr:spPr>
            <a:xfrm>
              <a:off x="6276974" y="666750"/>
              <a:ext cx="1990725" cy="781200"/>
            </a:xfrm>
            <a:prstGeom prst="roundRect">
              <a:avLst/>
            </a:prstGeom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ctr"/>
              <a:r>
                <a:rPr lang="en-NG" sz="2800" b="0" i="0" u="none" strike="noStrike" cap="none" spc="0">
                  <a:ln w="0"/>
                  <a:solidFill>
                    <a:schemeClr val="tx1"/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Calibri Bold" panose="020F0702030404030204" pitchFamily="34" charset="0"/>
                  <a:ea typeface="Calibri Bold" panose="020F0702030404030204" pitchFamily="34" charset="0"/>
                  <a:cs typeface="Calibri Bold" panose="020F0702030404030204" pitchFamily="34" charset="0"/>
                </a:rPr>
                <a:t>2731.04</a:t>
              </a:r>
              <a:r>
                <a:rPr lang="en-NG"/>
                <a:t> </a:t>
              </a:r>
              <a:endParaRPr lang="en-NG" sz="11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65E79FE6-2BC5-840E-5FBE-0F81AE086895}"/>
                </a:ext>
              </a:extLst>
            </xdr:cNvPr>
            <xdr:cNvSpPr txBox="1"/>
          </xdr:nvSpPr>
          <xdr:spPr>
            <a:xfrm>
              <a:off x="6400799" y="1123950"/>
              <a:ext cx="1743075" cy="2857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b"/>
            <a:lstStyle/>
            <a:p>
              <a:pPr algn="ctr"/>
              <a:r>
                <a:rPr lang="en-US" sz="1200">
                  <a:solidFill>
                    <a:schemeClr val="tx1"/>
                  </a:solidFill>
                  <a:latin typeface="Constantia" panose="02030602050306030303" pitchFamily="18" charset="0"/>
                  <a:ea typeface="+mn-ea"/>
                  <a:cs typeface="+mn-cs"/>
                </a:rPr>
                <a:t>Avg</a:t>
              </a:r>
              <a:r>
                <a:rPr lang="en-US" sz="1100"/>
                <a:t> </a:t>
              </a:r>
              <a:r>
                <a:rPr lang="en-US" sz="1200">
                  <a:solidFill>
                    <a:schemeClr val="tx1"/>
                  </a:solidFill>
                  <a:latin typeface="Constantia" panose="02030602050306030303" pitchFamily="18" charset="0"/>
                  <a:ea typeface="+mn-ea"/>
                  <a:cs typeface="+mn-cs"/>
                </a:rPr>
                <a:t>Fuel Usage </a:t>
              </a:r>
              <a:endParaRPr lang="en-NG" sz="1200">
                <a:solidFill>
                  <a:schemeClr val="tx1"/>
                </a:solidFill>
                <a:latin typeface="Constantia" panose="02030602050306030303" pitchFamily="18" charset="0"/>
                <a:ea typeface="+mn-ea"/>
                <a:cs typeface="+mn-cs"/>
              </a:endParaRPr>
            </a:p>
          </xdr:txBody>
        </xdr:sp>
      </xdr:grpSp>
      <xdr:grpSp>
        <xdr:nvGrpSpPr>
          <xdr:cNvPr id="22" name="Group 21">
            <a:extLst>
              <a:ext uri="{FF2B5EF4-FFF2-40B4-BE49-F238E27FC236}">
                <a16:creationId xmlns:a16="http://schemas.microsoft.com/office/drawing/2014/main" id="{DAB42594-0E86-B5CE-8618-522DF24542B6}"/>
              </a:ext>
            </a:extLst>
          </xdr:cNvPr>
          <xdr:cNvGrpSpPr/>
        </xdr:nvGrpSpPr>
        <xdr:grpSpPr>
          <a:xfrm>
            <a:off x="4929187" y="657225"/>
            <a:ext cx="1519238" cy="781200"/>
            <a:chOff x="5281612" y="714375"/>
            <a:chExt cx="1790700" cy="781200"/>
          </a:xfrm>
        </xdr:grpSpPr>
        <xdr:sp macro="" textlink="">
          <xdr:nvSpPr>
            <xdr:cNvPr id="6" name="Rectangle: Rounded Corners 5">
              <a:extLst>
                <a:ext uri="{FF2B5EF4-FFF2-40B4-BE49-F238E27FC236}">
                  <a16:creationId xmlns:a16="http://schemas.microsoft.com/office/drawing/2014/main" id="{08497F36-D8DB-2EA5-7596-04A61CDA668D}"/>
                </a:ext>
              </a:extLst>
            </xdr:cNvPr>
            <xdr:cNvSpPr/>
          </xdr:nvSpPr>
          <xdr:spPr>
            <a:xfrm>
              <a:off x="5281612" y="714375"/>
              <a:ext cx="1790700" cy="781200"/>
            </a:xfrm>
            <a:prstGeom prst="roundRect">
              <a:avLst/>
            </a:prstGeom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ctr"/>
              <a:r>
                <a:rPr lang="en-NG" sz="2800" b="0" i="0" u="none" strike="noStrike" cap="none" spc="0">
                  <a:ln w="0"/>
                  <a:solidFill>
                    <a:schemeClr val="tx1"/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Calibri Bold" panose="020F0702030404030204" pitchFamily="34" charset="0"/>
                  <a:ea typeface="Calibri Bold" panose="020F0702030404030204" pitchFamily="34" charset="0"/>
                  <a:cs typeface="Calibri Bold" panose="020F0702030404030204" pitchFamily="34" charset="0"/>
                </a:rPr>
                <a:t>$375.91 </a:t>
              </a:r>
            </a:p>
          </xdr:txBody>
        </xdr:sp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B2B2BDBB-F555-CE3A-D846-80F190EC70B2}"/>
                </a:ext>
              </a:extLst>
            </xdr:cNvPr>
            <xdr:cNvSpPr txBox="1"/>
          </xdr:nvSpPr>
          <xdr:spPr>
            <a:xfrm>
              <a:off x="5429250" y="1143000"/>
              <a:ext cx="1495425" cy="30003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b"/>
            <a:lstStyle/>
            <a:p>
              <a:pPr algn="ctr"/>
              <a:r>
                <a:rPr lang="en-US" sz="1200">
                  <a:solidFill>
                    <a:schemeClr val="tx1"/>
                  </a:solidFill>
                  <a:latin typeface="Constantia" panose="02030602050306030303" pitchFamily="18" charset="0"/>
                  <a:ea typeface="+mn-ea"/>
                  <a:cs typeface="+mn-cs"/>
                </a:rPr>
                <a:t>Avg</a:t>
              </a:r>
              <a:r>
                <a:rPr lang="en-US" sz="1100"/>
                <a:t> </a:t>
              </a:r>
              <a:r>
                <a:rPr lang="en-US" sz="1200">
                  <a:solidFill>
                    <a:schemeClr val="tx1"/>
                  </a:solidFill>
                  <a:latin typeface="Constantia" panose="02030602050306030303" pitchFamily="18" charset="0"/>
                  <a:ea typeface="+mn-ea"/>
                  <a:cs typeface="+mn-cs"/>
                </a:rPr>
                <a:t>Ticket</a:t>
              </a:r>
              <a:r>
                <a:rPr lang="en-US" sz="1100"/>
                <a:t> </a:t>
              </a:r>
              <a:r>
                <a:rPr lang="en-US" sz="1200">
                  <a:solidFill>
                    <a:schemeClr val="tx1"/>
                  </a:solidFill>
                  <a:latin typeface="Constantia" panose="02030602050306030303" pitchFamily="18" charset="0"/>
                  <a:ea typeface="+mn-ea"/>
                  <a:cs typeface="+mn-cs"/>
                </a:rPr>
                <a:t>Price</a:t>
              </a:r>
              <a:endParaRPr lang="en-NG" sz="1200">
                <a:solidFill>
                  <a:schemeClr val="tx1"/>
                </a:solidFill>
                <a:latin typeface="Constantia" panose="02030602050306030303" pitchFamily="18" charset="0"/>
                <a:ea typeface="+mn-ea"/>
                <a:cs typeface="+mn-cs"/>
              </a:endParaRPr>
            </a:p>
          </xdr:txBody>
        </xdr:sp>
      </xdr:grpSp>
    </xdr:grpSp>
    <xdr:clientData/>
  </xdr:twoCellAnchor>
  <xdr:twoCellAnchor>
    <xdr:from>
      <xdr:col>12</xdr:col>
      <xdr:colOff>581026</xdr:colOff>
      <xdr:row>3</xdr:row>
      <xdr:rowOff>19049</xdr:rowOff>
    </xdr:from>
    <xdr:to>
      <xdr:col>18</xdr:col>
      <xdr:colOff>485775</xdr:colOff>
      <xdr:row>17</xdr:row>
      <xdr:rowOff>57150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41613A6-27E8-4C67-A24D-6C5BD9CF46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752476</xdr:colOff>
      <xdr:row>7</xdr:row>
      <xdr:rowOff>161925</xdr:rowOff>
    </xdr:from>
    <xdr:to>
      <xdr:col>12</xdr:col>
      <xdr:colOff>381000</xdr:colOff>
      <xdr:row>25</xdr:row>
      <xdr:rowOff>47625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829F8F8B-662E-69D1-8A60-F0F4531E879B}"/>
            </a:ext>
          </a:extLst>
        </xdr:cNvPr>
        <xdr:cNvGrpSpPr/>
      </xdr:nvGrpSpPr>
      <xdr:grpSpPr>
        <a:xfrm>
          <a:off x="1362076" y="1495425"/>
          <a:ext cx="6591299" cy="3324225"/>
          <a:chOff x="1476376" y="1543050"/>
          <a:chExt cx="6515098" cy="3324225"/>
        </a:xfrm>
        <a:solidFill>
          <a:schemeClr val="accent5">
            <a:lumMod val="20000"/>
            <a:lumOff val="80000"/>
          </a:schemeClr>
        </a:solidFill>
      </xdr:grpSpPr>
      <xdr:sp macro="" textlink="">
        <xdr:nvSpPr>
          <xdr:cNvPr id="15" name="Rectangle: Rounded Corners 14">
            <a:extLst>
              <a:ext uri="{FF2B5EF4-FFF2-40B4-BE49-F238E27FC236}">
                <a16:creationId xmlns:a16="http://schemas.microsoft.com/office/drawing/2014/main" id="{829BF971-8FB7-1773-1AF1-68954B33360A}"/>
              </a:ext>
            </a:extLst>
          </xdr:cNvPr>
          <xdr:cNvSpPr/>
        </xdr:nvSpPr>
        <xdr:spPr>
          <a:xfrm>
            <a:off x="1647823" y="1543050"/>
            <a:ext cx="6343651" cy="3324225"/>
          </a:xfrm>
          <a:prstGeom prst="roundRect">
            <a:avLst/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en-US" sz="2800" b="0" cap="none" spc="0">
              <a:ln w="0"/>
              <a:solidFill>
                <a:schemeClr val="tx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Calibri Bold" panose="020F0702030404030204" pitchFamily="34" charset="0"/>
              <a:ea typeface="Calibri Bold" panose="020F0702030404030204" pitchFamily="34" charset="0"/>
              <a:cs typeface="Calibri Bold" panose="020F0702030404030204" pitchFamily="34" charset="0"/>
            </a:endParaRPr>
          </a:p>
        </xdr:txBody>
      </xdr:sp>
      <xdr:grpSp>
        <xdr:nvGrpSpPr>
          <xdr:cNvPr id="28" name="Group 27">
            <a:extLst>
              <a:ext uri="{FF2B5EF4-FFF2-40B4-BE49-F238E27FC236}">
                <a16:creationId xmlns:a16="http://schemas.microsoft.com/office/drawing/2014/main" id="{61731A12-E8D6-0C9A-1BE3-2958BF5E6D32}"/>
              </a:ext>
            </a:extLst>
          </xdr:cNvPr>
          <xdr:cNvGrpSpPr/>
        </xdr:nvGrpSpPr>
        <xdr:grpSpPr>
          <a:xfrm>
            <a:off x="1476376" y="1556147"/>
            <a:ext cx="6426401" cy="3311128"/>
            <a:chOff x="1476376" y="1556147"/>
            <a:chExt cx="6426401" cy="3311128"/>
          </a:xfrm>
          <a:grpFill/>
        </xdr:grpSpPr>
        <xdr:graphicFrame macro="">
          <xdr:nvGraphicFramePr>
            <xdr:cNvPr id="16" name="Chart 15">
              <a:extLst>
                <a:ext uri="{FF2B5EF4-FFF2-40B4-BE49-F238E27FC236}">
                  <a16:creationId xmlns:a16="http://schemas.microsoft.com/office/drawing/2014/main" id="{6EEEDC73-9AC3-48DC-AD52-9D2F3FF4BBD2}"/>
                </a:ext>
              </a:extLst>
            </xdr:cNvPr>
            <xdr:cNvGraphicFramePr>
              <a:graphicFrameLocks/>
            </xdr:cNvGraphicFramePr>
          </xdr:nvGraphicFramePr>
          <xdr:xfrm>
            <a:off x="1476376" y="1556147"/>
            <a:ext cx="3305174" cy="1729977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1F8246E1-0AC0-4CDA-A059-018FDF077919}"/>
                </a:ext>
              </a:extLst>
            </xdr:cNvPr>
            <xdr:cNvGraphicFramePr>
              <a:graphicFrameLocks/>
            </xdr:cNvGraphicFramePr>
          </xdr:nvGraphicFramePr>
          <xdr:xfrm>
            <a:off x="4591050" y="1571625"/>
            <a:ext cx="3162300" cy="17240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  <xdr:graphicFrame macro="">
          <xdr:nvGraphicFramePr>
            <xdr:cNvPr id="24" name="Chart 23">
              <a:extLst>
                <a:ext uri="{FF2B5EF4-FFF2-40B4-BE49-F238E27FC236}">
                  <a16:creationId xmlns:a16="http://schemas.microsoft.com/office/drawing/2014/main" id="{D047A92C-27CD-4AAC-86EA-D66BFE980B1D}"/>
                </a:ext>
              </a:extLst>
            </xdr:cNvPr>
            <xdr:cNvGraphicFramePr>
              <a:graphicFrameLocks/>
            </xdr:cNvGraphicFramePr>
          </xdr:nvGraphicFramePr>
          <xdr:xfrm>
            <a:off x="4892877" y="3305175"/>
            <a:ext cx="3009900" cy="15621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</xdr:grpSp>
    <xdr:clientData/>
  </xdr:twoCellAnchor>
  <xdr:twoCellAnchor>
    <xdr:from>
      <xdr:col>2</xdr:col>
      <xdr:colOff>180976</xdr:colOff>
      <xdr:row>15</xdr:row>
      <xdr:rowOff>190499</xdr:rowOff>
    </xdr:from>
    <xdr:to>
      <xdr:col>7</xdr:col>
      <xdr:colOff>295276</xdr:colOff>
      <xdr:row>25</xdr:row>
      <xdr:rowOff>28574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F76D0F08-DA11-46AF-B58D-E8A73DE1C1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ron Johnson" refreshedDate="45800.069434953701" createdVersion="8" refreshedVersion="8" minRefreshableVersion="3" recordCount="1000" xr:uid="{3ACD5BA4-D974-40B8-8A68-4E1096929957}">
  <cacheSource type="worksheet">
    <worksheetSource ref="A1:K1001" sheet="Aviation_Data"/>
  </cacheSource>
  <cacheFields count="11">
    <cacheField name="Flight_ID" numFmtId="0">
      <sharedItems/>
    </cacheField>
    <cacheField name="Takeoff_Location" numFmtId="0">
      <sharedItems/>
    </cacheField>
    <cacheField name="Destination" numFmtId="0">
      <sharedItems count="5">
        <s v="Tokyo"/>
        <s v="Sydney"/>
        <s v="Paris"/>
        <s v="London"/>
        <s v="Dubai"/>
      </sharedItems>
    </cacheField>
    <cacheField name="Flight_Duration" numFmtId="0">
      <sharedItems containsSemiMixedTypes="0" containsString="0" containsNumber="1" containsInteger="1" minValue="5" maxValue="15"/>
    </cacheField>
    <cacheField name="Altitude" numFmtId="0">
      <sharedItems containsSemiMixedTypes="0" containsString="0" containsNumber="1" containsInteger="1" minValue="30000" maxValue="35000" count="3">
        <n v="30000"/>
        <n v="35000"/>
        <n v="32000"/>
      </sharedItems>
    </cacheField>
    <cacheField name="Longitde" numFmtId="0">
      <sharedItems containsSemiMixedTypes="0" containsString="0" containsNumber="1" minValue="-179.995811488068" maxValue="179.840773170158"/>
    </cacheField>
    <cacheField name="Latitude" numFmtId="0">
      <sharedItems containsSemiMixedTypes="0" containsString="0" containsNumber="1" minValue="-89.994470607831204" maxValue="89.594890021836093"/>
    </cacheField>
    <cacheField name="Fuel_Consumption" numFmtId="0">
      <sharedItems containsSemiMixedTypes="0" containsString="0" containsNumber="1" containsInteger="1" minValue="2000" maxValue="3500"/>
    </cacheField>
    <cacheField name="Ticket_Price" numFmtId="0">
      <sharedItems containsSemiMixedTypes="0" containsString="0" containsNumber="1" containsInteger="1" minValue="150" maxValue="600"/>
    </cacheField>
    <cacheField name="Passenger_Count" numFmtId="0">
      <sharedItems containsSemiMixedTypes="0" containsString="0" containsNumber="1" containsInteger="1" minValue="50" maxValue="200"/>
    </cacheField>
    <cacheField name="Route" numFmtId="0">
      <sharedItems count="25">
        <s v="Houston → Tokyo"/>
        <s v="Miami → Tokyo"/>
        <s v="Chicago → Tokyo"/>
        <s v="Miami → Sydney"/>
        <s v="Los Angeles → Sydney"/>
        <s v="Chicago → Paris"/>
        <s v="Chicago → London"/>
        <s v="Miami → Paris"/>
        <s v="Houston → London"/>
        <s v="Chicago → Dubai"/>
        <s v="Los Angeles → London"/>
        <s v="Houston → Dubai"/>
        <s v="Houston → Sydney"/>
        <s v="New York → Paris"/>
        <s v="Miami → London"/>
        <s v="New York → Sydney"/>
        <s v="New York → London"/>
        <s v="Chicago → Sydney"/>
        <s v="Los Angeles → Paris"/>
        <s v="Houston → Paris"/>
        <s v="New York → Dubai"/>
        <s v="Miami → Dubai"/>
        <s v="Los Angeles → Dubai"/>
        <s v="Los Angeles → Tokyo"/>
        <s v="New York → Toky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ron Johnson" refreshedDate="45800.528378009258" createdVersion="8" refreshedVersion="8" minRefreshableVersion="3" recordCount="1000" xr:uid="{CEBA80C9-4236-411F-8291-2A601C4E2547}">
  <cacheSource type="worksheet">
    <worksheetSource ref="A1:L1001" sheet="Aviation_Data"/>
  </cacheSource>
  <cacheFields count="12">
    <cacheField name="Flight_ID" numFmtId="0">
      <sharedItems/>
    </cacheField>
    <cacheField name="Takeoff_Location" numFmtId="0">
      <sharedItems/>
    </cacheField>
    <cacheField name="Destination" numFmtId="0">
      <sharedItems/>
    </cacheField>
    <cacheField name="Flight_Duration" numFmtId="0">
      <sharedItems containsSemiMixedTypes="0" containsString="0" containsNumber="1" containsInteger="1" minValue="5" maxValue="15" count="8">
        <n v="10"/>
        <n v="9"/>
        <n v="8"/>
        <n v="15"/>
        <n v="7"/>
        <n v="5"/>
        <n v="12"/>
        <n v="11"/>
      </sharedItems>
    </cacheField>
    <cacheField name="Altitude" numFmtId="0">
      <sharedItems containsSemiMixedTypes="0" containsString="0" containsNumber="1" containsInteger="1" minValue="30000" maxValue="35000"/>
    </cacheField>
    <cacheField name="Longitde" numFmtId="0">
      <sharedItems containsSemiMixedTypes="0" containsString="0" containsNumber="1" minValue="-179.995811488068" maxValue="179.840773170158"/>
    </cacheField>
    <cacheField name="Latitude" numFmtId="0">
      <sharedItems containsSemiMixedTypes="0" containsString="0" containsNumber="1" minValue="-89.994470607831204" maxValue="89.594890021836093"/>
    </cacheField>
    <cacheField name="Fuel_Consumption" numFmtId="0">
      <sharedItems containsSemiMixedTypes="0" containsString="0" containsNumber="1" containsInteger="1" minValue="2000" maxValue="3500"/>
    </cacheField>
    <cacheField name="Ticket_Price" numFmtId="0">
      <sharedItems containsSemiMixedTypes="0" containsString="0" containsNumber="1" containsInteger="1" minValue="150" maxValue="600"/>
    </cacheField>
    <cacheField name="Passenger_Count" numFmtId="0">
      <sharedItems containsSemiMixedTypes="0" containsString="0" containsNumber="1" containsInteger="1" minValue="50" maxValue="200"/>
    </cacheField>
    <cacheField name="Route" numFmtId="0">
      <sharedItems count="25">
        <s v="Houston → Tokyo"/>
        <s v="Miami → Tokyo"/>
        <s v="Chicago → Tokyo"/>
        <s v="Miami → Sydney"/>
        <s v="Los Angeles → Sydney"/>
        <s v="Chicago → Paris"/>
        <s v="Chicago → London"/>
        <s v="Miami → Paris"/>
        <s v="Houston → London"/>
        <s v="Chicago → Dubai"/>
        <s v="Los Angeles → London"/>
        <s v="Houston → Dubai"/>
        <s v="Houston → Sydney"/>
        <s v="New York → Paris"/>
        <s v="Miami → London"/>
        <s v="New York → Sydney"/>
        <s v="New York → London"/>
        <s v="Chicago → Sydney"/>
        <s v="Los Angeles → Paris"/>
        <s v="Houston → Paris"/>
        <s v="New York → Dubai"/>
        <s v="Miami → Dubai"/>
        <s v="Los Angeles → Dubai"/>
        <s v="Los Angeles → Tokyo"/>
        <s v="New York → Tokyo"/>
      </sharedItems>
    </cacheField>
    <cacheField name="Price_per_Hour" numFmtId="164">
      <sharedItems containsSemiMixedTypes="0" containsString="0" containsNumber="1" minValue="10" maxValue="120" count="60">
        <n v="39.700000000000003"/>
        <n v="44.111111111111114"/>
        <n v="49.625"/>
        <n v="35.6"/>
        <n v="44.5"/>
        <n v="35.4"/>
        <n v="41.555555555555557"/>
        <n v="56.25"/>
        <n v="44.25"/>
        <n v="46.75"/>
        <n v="16.666666666666668"/>
        <n v="30"/>
        <n v="42.857142857142854"/>
        <n v="66.666666666666671"/>
        <n v="39.555555555555557"/>
        <n v="10"/>
        <n v="90"/>
        <n v="79.400000000000006"/>
        <n v="31.166666666666668"/>
        <n v="50.25"/>
        <n v="33.333333333333336"/>
        <n v="50.571428571428569"/>
        <n v="39.333333333333336"/>
        <n v="36.545454545454547"/>
        <n v="60"/>
        <n v="70.8"/>
        <n v="50"/>
        <n v="33.5"/>
        <n v="37.5"/>
        <n v="26.466666666666665"/>
        <n v="64.285714285714292"/>
        <n v="18.75"/>
        <n v="12.5"/>
        <n v="120"/>
        <n v="44.666666666666664"/>
        <n v="23.733333333333334"/>
        <n v="20"/>
        <n v="25"/>
        <n v="26.8"/>
        <n v="29.5"/>
        <n v="80.400000000000006"/>
        <n v="74.8"/>
        <n v="40.200000000000003"/>
        <n v="50.857142857142854"/>
        <n v="29.666666666666668"/>
        <n v="56.714285714285715"/>
        <n v="75"/>
        <n v="53.428571428571431"/>
        <n v="21.428571428571427"/>
        <n v="27.272727272727273"/>
        <n v="40"/>
        <n v="85.714285714285708"/>
        <n v="33.083333333333336"/>
        <n v="40.909090909090907"/>
        <n v="54.545454545454547"/>
        <n v="24.933333333333334"/>
        <n v="45"/>
        <n v="23.6"/>
        <n v="71.2"/>
        <n v="1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ron Johnson" refreshedDate="45801.472725347223" createdVersion="8" refreshedVersion="8" minRefreshableVersion="3" recordCount="1000" xr:uid="{F4730858-2E1A-4296-8D95-02B35C180AC0}">
  <cacheSource type="worksheet">
    <worksheetSource ref="A1:M1001" sheet="Aviation_Data"/>
  </cacheSource>
  <cacheFields count="13">
    <cacheField name="Flight_ID" numFmtId="0">
      <sharedItems count="1000">
        <s v="FL1000"/>
        <s v="FL1001"/>
        <s v="FL1002"/>
        <s v="FL1003"/>
        <s v="FL1004"/>
        <s v="FL1005"/>
        <s v="FL1006"/>
        <s v="FL1007"/>
        <s v="FL1008"/>
        <s v="FL1009"/>
        <s v="FL1010"/>
        <s v="FL1011"/>
        <s v="FL1012"/>
        <s v="FL1013"/>
        <s v="FL1014"/>
        <s v="FL1015"/>
        <s v="FL1016"/>
        <s v="FL1017"/>
        <s v="FL1018"/>
        <s v="FL1019"/>
        <s v="FL1020"/>
        <s v="FL1021"/>
        <s v="FL1022"/>
        <s v="FL1023"/>
        <s v="FL1024"/>
        <s v="FL1025"/>
        <s v="FL1026"/>
        <s v="FL1027"/>
        <s v="FL1028"/>
        <s v="FL1029"/>
        <s v="FL1030"/>
        <s v="FL1031"/>
        <s v="FL1032"/>
        <s v="FL1033"/>
        <s v="FL1034"/>
        <s v="FL1035"/>
        <s v="FL1036"/>
        <s v="FL1037"/>
        <s v="FL1038"/>
        <s v="FL1039"/>
        <s v="FL1040"/>
        <s v="FL1041"/>
        <s v="FL1042"/>
        <s v="FL1043"/>
        <s v="FL1044"/>
        <s v="FL1045"/>
        <s v="FL1046"/>
        <s v="FL1047"/>
        <s v="FL1048"/>
        <s v="FL1049"/>
        <s v="FL1050"/>
        <s v="FL1051"/>
        <s v="FL1052"/>
        <s v="FL1053"/>
        <s v="FL1054"/>
        <s v="FL1055"/>
        <s v="FL1056"/>
        <s v="FL1057"/>
        <s v="FL1058"/>
        <s v="FL1059"/>
        <s v="FL1060"/>
        <s v="FL1061"/>
        <s v="FL1062"/>
        <s v="FL1063"/>
        <s v="FL1064"/>
        <s v="FL1065"/>
        <s v="FL1066"/>
        <s v="FL1067"/>
        <s v="FL1068"/>
        <s v="FL1069"/>
        <s v="FL1070"/>
        <s v="FL1071"/>
        <s v="FL1072"/>
        <s v="FL1073"/>
        <s v="FL1074"/>
        <s v="FL1075"/>
        <s v="FL1076"/>
        <s v="FL1077"/>
        <s v="FL1078"/>
        <s v="FL1079"/>
        <s v="FL1080"/>
        <s v="FL1081"/>
        <s v="FL1082"/>
        <s v="FL1083"/>
        <s v="FL1084"/>
        <s v="FL1085"/>
        <s v="FL1086"/>
        <s v="FL1087"/>
        <s v="FL1088"/>
        <s v="FL1089"/>
        <s v="FL1090"/>
        <s v="FL1091"/>
        <s v="FL1092"/>
        <s v="FL1093"/>
        <s v="FL1094"/>
        <s v="FL1095"/>
        <s v="FL1096"/>
        <s v="FL1097"/>
        <s v="FL1098"/>
        <s v="FL1099"/>
        <s v="FL1100"/>
        <s v="FL1101"/>
        <s v="FL1102"/>
        <s v="FL1103"/>
        <s v="FL1104"/>
        <s v="FL1105"/>
        <s v="FL1106"/>
        <s v="FL1107"/>
        <s v="FL1108"/>
        <s v="FL1109"/>
        <s v="FL1110"/>
        <s v="FL1111"/>
        <s v="FL1112"/>
        <s v="FL1113"/>
        <s v="FL1114"/>
        <s v="FL1115"/>
        <s v="FL1116"/>
        <s v="FL1117"/>
        <s v="FL1118"/>
        <s v="FL1119"/>
        <s v="FL1120"/>
        <s v="FL1121"/>
        <s v="FL1122"/>
        <s v="FL1123"/>
        <s v="FL1124"/>
        <s v="FL1125"/>
        <s v="FL1126"/>
        <s v="FL1127"/>
        <s v="FL1128"/>
        <s v="FL1129"/>
        <s v="FL1130"/>
        <s v="FL1131"/>
        <s v="FL1132"/>
        <s v="FL1133"/>
        <s v="FL1134"/>
        <s v="FL1135"/>
        <s v="FL1136"/>
        <s v="FL1137"/>
        <s v="FL1138"/>
        <s v="FL1139"/>
        <s v="FL1140"/>
        <s v="FL1141"/>
        <s v="FL1142"/>
        <s v="FL1143"/>
        <s v="FL1144"/>
        <s v="FL1145"/>
        <s v="FL1146"/>
        <s v="FL1147"/>
        <s v="FL1148"/>
        <s v="FL1149"/>
        <s v="FL1150"/>
        <s v="FL1151"/>
        <s v="FL1152"/>
        <s v="FL1153"/>
        <s v="FL1154"/>
        <s v="FL1155"/>
        <s v="FL1156"/>
        <s v="FL1157"/>
        <s v="FL1158"/>
        <s v="FL1159"/>
        <s v="FL1160"/>
        <s v="FL1161"/>
        <s v="FL1162"/>
        <s v="FL1163"/>
        <s v="FL1164"/>
        <s v="FL1165"/>
        <s v="FL1166"/>
        <s v="FL1167"/>
        <s v="FL1168"/>
        <s v="FL1169"/>
        <s v="FL1170"/>
        <s v="FL1171"/>
        <s v="FL1172"/>
        <s v="FL1173"/>
        <s v="FL1174"/>
        <s v="FL1175"/>
        <s v="FL1176"/>
        <s v="FL1177"/>
        <s v="FL1178"/>
        <s v="FL1179"/>
        <s v="FL1180"/>
        <s v="FL1181"/>
        <s v="FL1182"/>
        <s v="FL1183"/>
        <s v="FL1184"/>
        <s v="FL1185"/>
        <s v="FL1186"/>
        <s v="FL1187"/>
        <s v="FL1188"/>
        <s v="FL1189"/>
        <s v="FL1190"/>
        <s v="FL1191"/>
        <s v="FL1192"/>
        <s v="FL1193"/>
        <s v="FL1194"/>
        <s v="FL1195"/>
        <s v="FL1196"/>
        <s v="FL1197"/>
        <s v="FL1198"/>
        <s v="FL1199"/>
        <s v="FL1200"/>
        <s v="FL1201"/>
        <s v="FL1202"/>
        <s v="FL1203"/>
        <s v="FL1204"/>
        <s v="FL1205"/>
        <s v="FL1206"/>
        <s v="FL1207"/>
        <s v="FL1208"/>
        <s v="FL1209"/>
        <s v="FL1210"/>
        <s v="FL1211"/>
        <s v="FL1212"/>
        <s v="FL1213"/>
        <s v="FL1214"/>
        <s v="FL1215"/>
        <s v="FL1216"/>
        <s v="FL1217"/>
        <s v="FL1218"/>
        <s v="FL1219"/>
        <s v="FL1220"/>
        <s v="FL1221"/>
        <s v="FL1222"/>
        <s v="FL1223"/>
        <s v="FL1224"/>
        <s v="FL1225"/>
        <s v="FL1226"/>
        <s v="FL1227"/>
        <s v="FL1228"/>
        <s v="FL1229"/>
        <s v="FL1230"/>
        <s v="FL1231"/>
        <s v="FL1232"/>
        <s v="FL1233"/>
        <s v="FL1234"/>
        <s v="FL1235"/>
        <s v="FL1236"/>
        <s v="FL1237"/>
        <s v="FL1238"/>
        <s v="FL1239"/>
        <s v="FL1240"/>
        <s v="FL1241"/>
        <s v="FL1242"/>
        <s v="FL1243"/>
        <s v="FL1244"/>
        <s v="FL1245"/>
        <s v="FL1246"/>
        <s v="FL1247"/>
        <s v="FL1248"/>
        <s v="FL1249"/>
        <s v="FL1250"/>
        <s v="FL1251"/>
        <s v="FL1252"/>
        <s v="FL1253"/>
        <s v="FL1254"/>
        <s v="FL1255"/>
        <s v="FL1256"/>
        <s v="FL1257"/>
        <s v="FL1258"/>
        <s v="FL1259"/>
        <s v="FL1260"/>
        <s v="FL1261"/>
        <s v="FL1262"/>
        <s v="FL1263"/>
        <s v="FL1264"/>
        <s v="FL1265"/>
        <s v="FL1266"/>
        <s v="FL1267"/>
        <s v="FL1268"/>
        <s v="FL1269"/>
        <s v="FL1270"/>
        <s v="FL1271"/>
        <s v="FL1272"/>
        <s v="FL1273"/>
        <s v="FL1274"/>
        <s v="FL1275"/>
        <s v="FL1276"/>
        <s v="FL1277"/>
        <s v="FL1278"/>
        <s v="FL1279"/>
        <s v="FL1280"/>
        <s v="FL1281"/>
        <s v="FL1282"/>
        <s v="FL1283"/>
        <s v="FL1284"/>
        <s v="FL1285"/>
        <s v="FL1286"/>
        <s v="FL1287"/>
        <s v="FL1288"/>
        <s v="FL1289"/>
        <s v="FL1290"/>
        <s v="FL1291"/>
        <s v="FL1292"/>
        <s v="FL1293"/>
        <s v="FL1294"/>
        <s v="FL1295"/>
        <s v="FL1296"/>
        <s v="FL1297"/>
        <s v="FL1298"/>
        <s v="FL1299"/>
        <s v="FL1300"/>
        <s v="FL1301"/>
        <s v="FL1302"/>
        <s v="FL1303"/>
        <s v="FL1304"/>
        <s v="FL1305"/>
        <s v="FL1306"/>
        <s v="FL1307"/>
        <s v="FL1308"/>
        <s v="FL1309"/>
        <s v="FL1310"/>
        <s v="FL1311"/>
        <s v="FL1312"/>
        <s v="FL1313"/>
        <s v="FL1314"/>
        <s v="FL1315"/>
        <s v="FL1316"/>
        <s v="FL1317"/>
        <s v="FL1318"/>
        <s v="FL1319"/>
        <s v="FL1320"/>
        <s v="FL1321"/>
        <s v="FL1322"/>
        <s v="FL1323"/>
        <s v="FL1324"/>
        <s v="FL1325"/>
        <s v="FL1326"/>
        <s v="FL1327"/>
        <s v="FL1328"/>
        <s v="FL1329"/>
        <s v="FL1330"/>
        <s v="FL1331"/>
        <s v="FL1332"/>
        <s v="FL1333"/>
        <s v="FL1334"/>
        <s v="FL1335"/>
        <s v="FL1336"/>
        <s v="FL1337"/>
        <s v="FL1338"/>
        <s v="FL1339"/>
        <s v="FL1340"/>
        <s v="FL1341"/>
        <s v="FL1342"/>
        <s v="FL1343"/>
        <s v="FL1344"/>
        <s v="FL1345"/>
        <s v="FL1346"/>
        <s v="FL1347"/>
        <s v="FL1348"/>
        <s v="FL1349"/>
        <s v="FL1350"/>
        <s v="FL1351"/>
        <s v="FL1352"/>
        <s v="FL1353"/>
        <s v="FL1354"/>
        <s v="FL1355"/>
        <s v="FL1356"/>
        <s v="FL1357"/>
        <s v="FL1358"/>
        <s v="FL1359"/>
        <s v="FL1360"/>
        <s v="FL1361"/>
        <s v="FL1362"/>
        <s v="FL1363"/>
        <s v="FL1364"/>
        <s v="FL1365"/>
        <s v="FL1366"/>
        <s v="FL1367"/>
        <s v="FL1368"/>
        <s v="FL1369"/>
        <s v="FL1370"/>
        <s v="FL1371"/>
        <s v="FL1372"/>
        <s v="FL1373"/>
        <s v="FL1374"/>
        <s v="FL1375"/>
        <s v="FL1376"/>
        <s v="FL1377"/>
        <s v="FL1378"/>
        <s v="FL1379"/>
        <s v="FL1380"/>
        <s v="FL1381"/>
        <s v="FL1382"/>
        <s v="FL1383"/>
        <s v="FL1384"/>
        <s v="FL1385"/>
        <s v="FL1386"/>
        <s v="FL1387"/>
        <s v="FL1388"/>
        <s v="FL1389"/>
        <s v="FL1390"/>
        <s v="FL1391"/>
        <s v="FL1392"/>
        <s v="FL1393"/>
        <s v="FL1394"/>
        <s v="FL1395"/>
        <s v="FL1396"/>
        <s v="FL1397"/>
        <s v="FL1398"/>
        <s v="FL1399"/>
        <s v="FL1400"/>
        <s v="FL1401"/>
        <s v="FL1402"/>
        <s v="FL1403"/>
        <s v="FL1404"/>
        <s v="FL1405"/>
        <s v="FL1406"/>
        <s v="FL1407"/>
        <s v="FL1408"/>
        <s v="FL1409"/>
        <s v="FL1410"/>
        <s v="FL1411"/>
        <s v="FL1412"/>
        <s v="FL1413"/>
        <s v="FL1414"/>
        <s v="FL1415"/>
        <s v="FL1416"/>
        <s v="FL1417"/>
        <s v="FL1418"/>
        <s v="FL1419"/>
        <s v="FL1420"/>
        <s v="FL1421"/>
        <s v="FL1422"/>
        <s v="FL1423"/>
        <s v="FL1424"/>
        <s v="FL1425"/>
        <s v="FL1426"/>
        <s v="FL1427"/>
        <s v="FL1428"/>
        <s v="FL1429"/>
        <s v="FL1430"/>
        <s v="FL1431"/>
        <s v="FL1432"/>
        <s v="FL1433"/>
        <s v="FL1434"/>
        <s v="FL1435"/>
        <s v="FL1436"/>
        <s v="FL1437"/>
        <s v="FL1438"/>
        <s v="FL1439"/>
        <s v="FL1440"/>
        <s v="FL1441"/>
        <s v="FL1442"/>
        <s v="FL1443"/>
        <s v="FL1444"/>
        <s v="FL1445"/>
        <s v="FL1446"/>
        <s v="FL1447"/>
        <s v="FL1448"/>
        <s v="FL1449"/>
        <s v="FL1450"/>
        <s v="FL1451"/>
        <s v="FL1452"/>
        <s v="FL1453"/>
        <s v="FL1454"/>
        <s v="FL1455"/>
        <s v="FL1456"/>
        <s v="FL1457"/>
        <s v="FL1458"/>
        <s v="FL1459"/>
        <s v="FL1460"/>
        <s v="FL1461"/>
        <s v="FL1462"/>
        <s v="FL1463"/>
        <s v="FL1464"/>
        <s v="FL1465"/>
        <s v="FL1466"/>
        <s v="FL1467"/>
        <s v="FL1468"/>
        <s v="FL1469"/>
        <s v="FL1470"/>
        <s v="FL1471"/>
        <s v="FL1472"/>
        <s v="FL1473"/>
        <s v="FL1474"/>
        <s v="FL1475"/>
        <s v="FL1476"/>
        <s v="FL1477"/>
        <s v="FL1478"/>
        <s v="FL1479"/>
        <s v="FL1480"/>
        <s v="FL1481"/>
        <s v="FL1482"/>
        <s v="FL1483"/>
        <s v="FL1484"/>
        <s v="FL1485"/>
        <s v="FL1486"/>
        <s v="FL1487"/>
        <s v="FL1488"/>
        <s v="FL1489"/>
        <s v="FL1490"/>
        <s v="FL1491"/>
        <s v="FL1492"/>
        <s v="FL1493"/>
        <s v="FL1494"/>
        <s v="FL1495"/>
        <s v="FL1496"/>
        <s v="FL1497"/>
        <s v="FL1498"/>
        <s v="FL1499"/>
        <s v="FL1500"/>
        <s v="FL1501"/>
        <s v="FL1502"/>
        <s v="FL1503"/>
        <s v="FL1504"/>
        <s v="FL1505"/>
        <s v="FL1506"/>
        <s v="FL1507"/>
        <s v="FL1508"/>
        <s v="FL1509"/>
        <s v="FL1510"/>
        <s v="FL1511"/>
        <s v="FL1512"/>
        <s v="FL1513"/>
        <s v="FL1514"/>
        <s v="FL1515"/>
        <s v="FL1516"/>
        <s v="FL1517"/>
        <s v="FL1518"/>
        <s v="FL1519"/>
        <s v="FL1520"/>
        <s v="FL1521"/>
        <s v="FL1522"/>
        <s v="FL1523"/>
        <s v="FL1524"/>
        <s v="FL1525"/>
        <s v="FL1526"/>
        <s v="FL1527"/>
        <s v="FL1528"/>
        <s v="FL1529"/>
        <s v="FL1530"/>
        <s v="FL1531"/>
        <s v="FL1532"/>
        <s v="FL1533"/>
        <s v="FL1534"/>
        <s v="FL1535"/>
        <s v="FL1536"/>
        <s v="FL1537"/>
        <s v="FL1538"/>
        <s v="FL1539"/>
        <s v="FL1540"/>
        <s v="FL1541"/>
        <s v="FL1542"/>
        <s v="FL1543"/>
        <s v="FL1544"/>
        <s v="FL1545"/>
        <s v="FL1546"/>
        <s v="FL1547"/>
        <s v="FL1548"/>
        <s v="FL1549"/>
        <s v="FL1550"/>
        <s v="FL1551"/>
        <s v="FL1552"/>
        <s v="FL1553"/>
        <s v="FL1554"/>
        <s v="FL1555"/>
        <s v="FL1556"/>
        <s v="FL1557"/>
        <s v="FL1558"/>
        <s v="FL1559"/>
        <s v="FL1560"/>
        <s v="FL1561"/>
        <s v="FL1562"/>
        <s v="FL1563"/>
        <s v="FL1564"/>
        <s v="FL1565"/>
        <s v="FL1566"/>
        <s v="FL1567"/>
        <s v="FL1568"/>
        <s v="FL1569"/>
        <s v="FL1570"/>
        <s v="FL1571"/>
        <s v="FL1572"/>
        <s v="FL1573"/>
        <s v="FL1574"/>
        <s v="FL1575"/>
        <s v="FL1576"/>
        <s v="FL1577"/>
        <s v="FL1578"/>
        <s v="FL1579"/>
        <s v="FL1580"/>
        <s v="FL1581"/>
        <s v="FL1582"/>
        <s v="FL1583"/>
        <s v="FL1584"/>
        <s v="FL1585"/>
        <s v="FL1586"/>
        <s v="FL1587"/>
        <s v="FL1588"/>
        <s v="FL1589"/>
        <s v="FL1590"/>
        <s v="FL1591"/>
        <s v="FL1592"/>
        <s v="FL1593"/>
        <s v="FL1594"/>
        <s v="FL1595"/>
        <s v="FL1596"/>
        <s v="FL1597"/>
        <s v="FL1598"/>
        <s v="FL1599"/>
        <s v="FL1600"/>
        <s v="FL1601"/>
        <s v="FL1602"/>
        <s v="FL1603"/>
        <s v="FL1604"/>
        <s v="FL1605"/>
        <s v="FL1606"/>
        <s v="FL1607"/>
        <s v="FL1608"/>
        <s v="FL1609"/>
        <s v="FL1610"/>
        <s v="FL1611"/>
        <s v="FL1612"/>
        <s v="FL1613"/>
        <s v="FL1614"/>
        <s v="FL1615"/>
        <s v="FL1616"/>
        <s v="FL1617"/>
        <s v="FL1618"/>
        <s v="FL1619"/>
        <s v="FL1620"/>
        <s v="FL1621"/>
        <s v="FL1622"/>
        <s v="FL1623"/>
        <s v="FL1624"/>
        <s v="FL1625"/>
        <s v="FL1626"/>
        <s v="FL1627"/>
        <s v="FL1628"/>
        <s v="FL1629"/>
        <s v="FL1630"/>
        <s v="FL1631"/>
        <s v="FL1632"/>
        <s v="FL1633"/>
        <s v="FL1634"/>
        <s v="FL1635"/>
        <s v="FL1636"/>
        <s v="FL1637"/>
        <s v="FL1638"/>
        <s v="FL1639"/>
        <s v="FL1640"/>
        <s v="FL1641"/>
        <s v="FL1642"/>
        <s v="FL1643"/>
        <s v="FL1644"/>
        <s v="FL1645"/>
        <s v="FL1646"/>
        <s v="FL1647"/>
        <s v="FL1648"/>
        <s v="FL1649"/>
        <s v="FL1650"/>
        <s v="FL1651"/>
        <s v="FL1652"/>
        <s v="FL1653"/>
        <s v="FL1654"/>
        <s v="FL1655"/>
        <s v="FL1656"/>
        <s v="FL1657"/>
        <s v="FL1658"/>
        <s v="FL1659"/>
        <s v="FL1660"/>
        <s v="FL1661"/>
        <s v="FL1662"/>
        <s v="FL1663"/>
        <s v="FL1664"/>
        <s v="FL1665"/>
        <s v="FL1666"/>
        <s v="FL1667"/>
        <s v="FL1668"/>
        <s v="FL1669"/>
        <s v="FL1670"/>
        <s v="FL1671"/>
        <s v="FL1672"/>
        <s v="FL1673"/>
        <s v="FL1674"/>
        <s v="FL1675"/>
        <s v="FL1676"/>
        <s v="FL1677"/>
        <s v="FL1678"/>
        <s v="FL1679"/>
        <s v="FL1680"/>
        <s v="FL1681"/>
        <s v="FL1682"/>
        <s v="FL1683"/>
        <s v="FL1684"/>
        <s v="FL1685"/>
        <s v="FL1686"/>
        <s v="FL1687"/>
        <s v="FL1688"/>
        <s v="FL1689"/>
        <s v="FL1690"/>
        <s v="FL1691"/>
        <s v="FL1692"/>
        <s v="FL1693"/>
        <s v="FL1694"/>
        <s v="FL1695"/>
        <s v="FL1696"/>
        <s v="FL1697"/>
        <s v="FL1698"/>
        <s v="FL1699"/>
        <s v="FL1700"/>
        <s v="FL1701"/>
        <s v="FL1702"/>
        <s v="FL1703"/>
        <s v="FL1704"/>
        <s v="FL1705"/>
        <s v="FL1706"/>
        <s v="FL1707"/>
        <s v="FL1708"/>
        <s v="FL1709"/>
        <s v="FL1710"/>
        <s v="FL1711"/>
        <s v="FL1712"/>
        <s v="FL1713"/>
        <s v="FL1714"/>
        <s v="FL1715"/>
        <s v="FL1716"/>
        <s v="FL1717"/>
        <s v="FL1718"/>
        <s v="FL1719"/>
        <s v="FL1720"/>
        <s v="FL1721"/>
        <s v="FL1722"/>
        <s v="FL1723"/>
        <s v="FL1724"/>
        <s v="FL1725"/>
        <s v="FL1726"/>
        <s v="FL1727"/>
        <s v="FL1728"/>
        <s v="FL1729"/>
        <s v="FL1730"/>
        <s v="FL1731"/>
        <s v="FL1732"/>
        <s v="FL1733"/>
        <s v="FL1734"/>
        <s v="FL1735"/>
        <s v="FL1736"/>
        <s v="FL1737"/>
        <s v="FL1738"/>
        <s v="FL1739"/>
        <s v="FL1740"/>
        <s v="FL1741"/>
        <s v="FL1742"/>
        <s v="FL1743"/>
        <s v="FL1744"/>
        <s v="FL1745"/>
        <s v="FL1746"/>
        <s v="FL1747"/>
        <s v="FL1748"/>
        <s v="FL1749"/>
        <s v="FL1750"/>
        <s v="FL1751"/>
        <s v="FL1752"/>
        <s v="FL1753"/>
        <s v="FL1754"/>
        <s v="FL1755"/>
        <s v="FL1756"/>
        <s v="FL1757"/>
        <s v="FL1758"/>
        <s v="FL1759"/>
        <s v="FL1760"/>
        <s v="FL1761"/>
        <s v="FL1762"/>
        <s v="FL1763"/>
        <s v="FL1764"/>
        <s v="FL1765"/>
        <s v="FL1766"/>
        <s v="FL1767"/>
        <s v="FL1768"/>
        <s v="FL1769"/>
        <s v="FL1770"/>
        <s v="FL1771"/>
        <s v="FL1772"/>
        <s v="FL1773"/>
        <s v="FL1774"/>
        <s v="FL1775"/>
        <s v="FL1776"/>
        <s v="FL1777"/>
        <s v="FL1778"/>
        <s v="FL1779"/>
        <s v="FL1780"/>
        <s v="FL1781"/>
        <s v="FL1782"/>
        <s v="FL1783"/>
        <s v="FL1784"/>
        <s v="FL1785"/>
        <s v="FL1786"/>
        <s v="FL1787"/>
        <s v="FL1788"/>
        <s v="FL1789"/>
        <s v="FL1790"/>
        <s v="FL1791"/>
        <s v="FL1792"/>
        <s v="FL1793"/>
        <s v="FL1794"/>
        <s v="FL1795"/>
        <s v="FL1796"/>
        <s v="FL1797"/>
        <s v="FL1798"/>
        <s v="FL1799"/>
        <s v="FL1800"/>
        <s v="FL1801"/>
        <s v="FL1802"/>
        <s v="FL1803"/>
        <s v="FL1804"/>
        <s v="FL1805"/>
        <s v="FL1806"/>
        <s v="FL1807"/>
        <s v="FL1808"/>
        <s v="FL1809"/>
        <s v="FL1810"/>
        <s v="FL1811"/>
        <s v="FL1812"/>
        <s v="FL1813"/>
        <s v="FL1814"/>
        <s v="FL1815"/>
        <s v="FL1816"/>
        <s v="FL1817"/>
        <s v="FL1818"/>
        <s v="FL1819"/>
        <s v="FL1820"/>
        <s v="FL1821"/>
        <s v="FL1822"/>
        <s v="FL1823"/>
        <s v="FL1824"/>
        <s v="FL1825"/>
        <s v="FL1826"/>
        <s v="FL1827"/>
        <s v="FL1828"/>
        <s v="FL1829"/>
        <s v="FL1830"/>
        <s v="FL1831"/>
        <s v="FL1832"/>
        <s v="FL1833"/>
        <s v="FL1834"/>
        <s v="FL1835"/>
        <s v="FL1836"/>
        <s v="FL1837"/>
        <s v="FL1838"/>
        <s v="FL1839"/>
        <s v="FL1840"/>
        <s v="FL1841"/>
        <s v="FL1842"/>
        <s v="FL1843"/>
        <s v="FL1844"/>
        <s v="FL1845"/>
        <s v="FL1846"/>
        <s v="FL1847"/>
        <s v="FL1848"/>
        <s v="FL1849"/>
        <s v="FL1850"/>
        <s v="FL1851"/>
        <s v="FL1852"/>
        <s v="FL1853"/>
        <s v="FL1854"/>
        <s v="FL1855"/>
        <s v="FL1856"/>
        <s v="FL1857"/>
        <s v="FL1858"/>
        <s v="FL1859"/>
        <s v="FL1860"/>
        <s v="FL1861"/>
        <s v="FL1862"/>
        <s v="FL1863"/>
        <s v="FL1864"/>
        <s v="FL1865"/>
        <s v="FL1866"/>
        <s v="FL1867"/>
        <s v="FL1868"/>
        <s v="FL1869"/>
        <s v="FL1870"/>
        <s v="FL1871"/>
        <s v="FL1872"/>
        <s v="FL1873"/>
        <s v="FL1874"/>
        <s v="FL1875"/>
        <s v="FL1876"/>
        <s v="FL1877"/>
        <s v="FL1878"/>
        <s v="FL1879"/>
        <s v="FL1880"/>
        <s v="FL1881"/>
        <s v="FL1882"/>
        <s v="FL1883"/>
        <s v="FL1884"/>
        <s v="FL1885"/>
        <s v="FL1886"/>
        <s v="FL1887"/>
        <s v="FL1888"/>
        <s v="FL1889"/>
        <s v="FL1890"/>
        <s v="FL1891"/>
        <s v="FL1892"/>
        <s v="FL1893"/>
        <s v="FL1894"/>
        <s v="FL1895"/>
        <s v="FL1896"/>
        <s v="FL1897"/>
        <s v="FL1898"/>
        <s v="FL1899"/>
        <s v="FL1900"/>
        <s v="FL1901"/>
        <s v="FL1902"/>
        <s v="FL1903"/>
        <s v="FL1904"/>
        <s v="FL1905"/>
        <s v="FL1906"/>
        <s v="FL1907"/>
        <s v="FL1908"/>
        <s v="FL1909"/>
        <s v="FL1910"/>
        <s v="FL1911"/>
        <s v="FL1912"/>
        <s v="FL1913"/>
        <s v="FL1914"/>
        <s v="FL1915"/>
        <s v="FL1916"/>
        <s v="FL1917"/>
        <s v="FL1918"/>
        <s v="FL1919"/>
        <s v="FL1920"/>
        <s v="FL1921"/>
        <s v="FL1922"/>
        <s v="FL1923"/>
        <s v="FL1924"/>
        <s v="FL1925"/>
        <s v="FL1926"/>
        <s v="FL1927"/>
        <s v="FL1928"/>
        <s v="FL1929"/>
        <s v="FL1930"/>
        <s v="FL1931"/>
        <s v="FL1932"/>
        <s v="FL1933"/>
        <s v="FL1934"/>
        <s v="FL1935"/>
        <s v="FL1936"/>
        <s v="FL1937"/>
        <s v="FL1938"/>
        <s v="FL1939"/>
        <s v="FL1940"/>
        <s v="FL1941"/>
        <s v="FL1942"/>
        <s v="FL1943"/>
        <s v="FL1944"/>
        <s v="FL1945"/>
        <s v="FL1946"/>
        <s v="FL1947"/>
        <s v="FL1948"/>
        <s v="FL1949"/>
        <s v="FL1950"/>
        <s v="FL1951"/>
        <s v="FL1952"/>
        <s v="FL1953"/>
        <s v="FL1954"/>
        <s v="FL1955"/>
        <s v="FL1956"/>
        <s v="FL1957"/>
        <s v="FL1958"/>
        <s v="FL1959"/>
        <s v="FL1960"/>
        <s v="FL1961"/>
        <s v="FL1962"/>
        <s v="FL1963"/>
        <s v="FL1964"/>
        <s v="FL1965"/>
        <s v="FL1966"/>
        <s v="FL1967"/>
        <s v="FL1968"/>
        <s v="FL1969"/>
        <s v="FL1970"/>
        <s v="FL1971"/>
        <s v="FL1972"/>
        <s v="FL1973"/>
        <s v="FL1974"/>
        <s v="FL1975"/>
        <s v="FL1976"/>
        <s v="FL1977"/>
        <s v="FL1978"/>
        <s v="FL1979"/>
        <s v="FL1980"/>
        <s v="FL1981"/>
        <s v="FL1982"/>
        <s v="FL1983"/>
        <s v="FL1984"/>
        <s v="FL1985"/>
        <s v="FL1986"/>
        <s v="FL1987"/>
        <s v="FL1988"/>
        <s v="FL1989"/>
        <s v="FL1990"/>
        <s v="FL1991"/>
        <s v="FL1992"/>
        <s v="FL1993"/>
        <s v="FL1994"/>
        <s v="FL1995"/>
        <s v="FL1996"/>
        <s v="FL1997"/>
        <s v="FL1998"/>
        <s v="FL1999"/>
      </sharedItems>
    </cacheField>
    <cacheField name="Takeoff_Location" numFmtId="0">
      <sharedItems/>
    </cacheField>
    <cacheField name="Destination" numFmtId="0">
      <sharedItems count="5">
        <s v="Tokyo"/>
        <s v="Sydney"/>
        <s v="Paris"/>
        <s v="London"/>
        <s v="Dubai"/>
      </sharedItems>
    </cacheField>
    <cacheField name="Flight_Duration" numFmtId="0">
      <sharedItems containsSemiMixedTypes="0" containsString="0" containsNumber="1" containsInteger="1" minValue="5" maxValue="15"/>
    </cacheField>
    <cacheField name="Altitude" numFmtId="0">
      <sharedItems containsSemiMixedTypes="0" containsString="0" containsNumber="1" containsInteger="1" minValue="30000" maxValue="35000"/>
    </cacheField>
    <cacheField name="Longitde" numFmtId="0">
      <sharedItems containsSemiMixedTypes="0" containsString="0" containsNumber="1" minValue="-179.995811488068" maxValue="179.840773170158"/>
    </cacheField>
    <cacheField name="Latitude" numFmtId="0">
      <sharedItems containsSemiMixedTypes="0" containsString="0" containsNumber="1" minValue="-89.994470607831204" maxValue="89.594890021836093"/>
    </cacheField>
    <cacheField name="Fuel_Consumption" numFmtId="0">
      <sharedItems containsSemiMixedTypes="0" containsString="0" containsNumber="1" containsInteger="1" minValue="2000" maxValue="3500"/>
    </cacheField>
    <cacheField name="Ticket_Price" numFmtId="0">
      <sharedItems containsSemiMixedTypes="0" containsString="0" containsNumber="1" containsInteger="1" minValue="150" maxValue="600"/>
    </cacheField>
    <cacheField name="Passenger_Count" numFmtId="0">
      <sharedItems containsSemiMixedTypes="0" containsString="0" containsNumber="1" containsInteger="1" minValue="50" maxValue="200"/>
    </cacheField>
    <cacheField name="Route" numFmtId="0">
      <sharedItems count="25">
        <s v="Houston → Tokyo"/>
        <s v="Miami → Tokyo"/>
        <s v="Chicago → Tokyo"/>
        <s v="Miami → Sydney"/>
        <s v="Los Angeles → Sydney"/>
        <s v="Chicago → Paris"/>
        <s v="Chicago → London"/>
        <s v="Miami → Paris"/>
        <s v="Houston → London"/>
        <s v="Chicago → Dubai"/>
        <s v="Los Angeles → London"/>
        <s v="Houston → Dubai"/>
        <s v="Houston → Sydney"/>
        <s v="New York → Paris"/>
        <s v="Miami → London"/>
        <s v="New York → Sydney"/>
        <s v="New York → London"/>
        <s v="Chicago → Sydney"/>
        <s v="Los Angeles → Paris"/>
        <s v="Houston → Paris"/>
        <s v="New York → Dubai"/>
        <s v="Miami → Dubai"/>
        <s v="Los Angeles → Dubai"/>
        <s v="Los Angeles → Tokyo"/>
        <s v="New York → Tokyo"/>
      </sharedItems>
    </cacheField>
    <cacheField name="Price_per_Hour" numFmtId="164">
      <sharedItems containsSemiMixedTypes="0" containsString="0" containsNumber="1" minValue="10" maxValue="120"/>
    </cacheField>
    <cacheField name="Revenue" numFmtId="165">
      <sharedItems containsSemiMixedTypes="0" containsString="0" containsNumber="1" containsInteger="1" minValue="7500" maxValue="12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FL1000"/>
    <s v="Houston"/>
    <x v="0"/>
    <n v="10"/>
    <x v="0"/>
    <n v="176.878044563119"/>
    <n v="29.144453874662101"/>
    <n v="2550"/>
    <n v="397"/>
    <n v="120"/>
    <x v="0"/>
  </r>
  <r>
    <s v="FL1001"/>
    <s v="Miami"/>
    <x v="0"/>
    <n v="9"/>
    <x v="0"/>
    <n v="16.013639808094698"/>
    <n v="45.211884651727701"/>
    <n v="2729"/>
    <n v="397"/>
    <n v="50"/>
    <x v="1"/>
  </r>
  <r>
    <s v="FL1002"/>
    <s v="Chicago"/>
    <x v="0"/>
    <n v="8"/>
    <x v="0"/>
    <n v="166.596606091154"/>
    <n v="45.696254887784299"/>
    <n v="2583"/>
    <n v="397"/>
    <n v="133"/>
    <x v="2"/>
  </r>
  <r>
    <s v="FL1003"/>
    <s v="Miami"/>
    <x v="0"/>
    <n v="9"/>
    <x v="0"/>
    <n v="-152.78218537796999"/>
    <n v="14.020400284935899"/>
    <n v="2729"/>
    <n v="397"/>
    <n v="126"/>
    <x v="1"/>
  </r>
  <r>
    <s v="FL1004"/>
    <s v="Miami"/>
    <x v="1"/>
    <n v="10"/>
    <x v="1"/>
    <n v="-48.354930625906299"/>
    <n v="72.784759498894303"/>
    <n v="3000"/>
    <n v="356"/>
    <n v="105"/>
    <x v="3"/>
  </r>
  <r>
    <s v="FL1005"/>
    <s v="Los Angeles"/>
    <x v="1"/>
    <n v="8"/>
    <x v="0"/>
    <n v="-98.862743517564297"/>
    <n v="57.1334125150997"/>
    <n v="3000"/>
    <n v="356"/>
    <n v="145"/>
    <x v="4"/>
  </r>
  <r>
    <s v="FL1006"/>
    <s v="Chicago"/>
    <x v="2"/>
    <n v="10"/>
    <x v="0"/>
    <n v="-109.50008971166299"/>
    <n v="46.268660645752597"/>
    <n v="2928"/>
    <n v="354"/>
    <n v="121"/>
    <x v="5"/>
  </r>
  <r>
    <s v="FL1007"/>
    <s v="Chicago"/>
    <x v="3"/>
    <n v="9"/>
    <x v="0"/>
    <n v="-129.31093839863701"/>
    <n v="-79.991006097517101"/>
    <n v="2678"/>
    <n v="374"/>
    <n v="116"/>
    <x v="6"/>
  </r>
  <r>
    <s v="FL1008"/>
    <s v="Chicago"/>
    <x v="0"/>
    <n v="8"/>
    <x v="0"/>
    <n v="44.068910963758803"/>
    <n v="-88.7619668004631"/>
    <n v="2500"/>
    <n v="450"/>
    <n v="100"/>
    <x v="2"/>
  </r>
  <r>
    <s v="FL1009"/>
    <s v="Miami"/>
    <x v="2"/>
    <n v="8"/>
    <x v="0"/>
    <n v="101.27586806903"/>
    <n v="-51.759490104814901"/>
    <n v="2718"/>
    <n v="354"/>
    <n v="115"/>
    <x v="7"/>
  </r>
  <r>
    <s v="FL1010"/>
    <s v="Houston"/>
    <x v="3"/>
    <n v="8"/>
    <x v="0"/>
    <n v="28.187423791329799"/>
    <n v="29.4342469044214"/>
    <n v="2846"/>
    <n v="374"/>
    <n v="138"/>
    <x v="8"/>
  </r>
  <r>
    <s v="FL1011"/>
    <s v="Chicago"/>
    <x v="4"/>
    <n v="9"/>
    <x v="0"/>
    <n v="-127.093424548244"/>
    <n v="-15.984452001141801"/>
    <n v="3500"/>
    <n v="150"/>
    <n v="114"/>
    <x v="9"/>
  </r>
  <r>
    <s v="FL1012"/>
    <s v="Miami"/>
    <x v="1"/>
    <n v="15"/>
    <x v="1"/>
    <n v="112.00455717605"/>
    <n v="-17.566873326123901"/>
    <n v="2500"/>
    <n v="450"/>
    <n v="50"/>
    <x v="3"/>
  </r>
  <r>
    <s v="FL1013"/>
    <s v="Los Angeles"/>
    <x v="3"/>
    <n v="7"/>
    <x v="1"/>
    <n v="48.943694578942299"/>
    <n v="69.225639881330494"/>
    <n v="2500"/>
    <n v="300"/>
    <n v="200"/>
    <x v="10"/>
  </r>
  <r>
    <s v="FL1014"/>
    <s v="Houston"/>
    <x v="4"/>
    <n v="9"/>
    <x v="0"/>
    <n v="-40.260345794281598"/>
    <n v="71.201312663731002"/>
    <n v="2500"/>
    <n v="600"/>
    <n v="50"/>
    <x v="11"/>
  </r>
  <r>
    <s v="FL1015"/>
    <s v="Los Angeles"/>
    <x v="3"/>
    <n v="7"/>
    <x v="2"/>
    <n v="62.686906392982699"/>
    <n v="73.651547529645399"/>
    <n v="2000"/>
    <n v="300"/>
    <n v="100"/>
    <x v="10"/>
  </r>
  <r>
    <s v="FL1016"/>
    <s v="Houston"/>
    <x v="1"/>
    <n v="9"/>
    <x v="2"/>
    <n v="-86.434207472580198"/>
    <n v="-33.5019462272951"/>
    <n v="2500"/>
    <n v="356"/>
    <n v="50"/>
    <x v="12"/>
  </r>
  <r>
    <s v="FL1017"/>
    <s v="Miami"/>
    <x v="1"/>
    <n v="15"/>
    <x v="0"/>
    <n v="-55.730804942084198"/>
    <n v="34.390046293067101"/>
    <n v="2500"/>
    <n v="150"/>
    <n v="50"/>
    <x v="3"/>
  </r>
  <r>
    <s v="FL1018"/>
    <s v="New York"/>
    <x v="2"/>
    <n v="5"/>
    <x v="1"/>
    <n v="150.29490352751699"/>
    <n v="-41.106027370613504"/>
    <n v="2847"/>
    <n v="450"/>
    <n v="50"/>
    <x v="13"/>
  </r>
  <r>
    <s v="FL1019"/>
    <s v="Houston"/>
    <x v="0"/>
    <n v="5"/>
    <x v="0"/>
    <n v="-75.418377958288701"/>
    <n v="-55.690230046598998"/>
    <n v="2000"/>
    <n v="397"/>
    <n v="150"/>
    <x v="0"/>
  </r>
  <r>
    <s v="FL1020"/>
    <s v="Los Angeles"/>
    <x v="3"/>
    <n v="9"/>
    <x v="0"/>
    <n v="-10.804223463142799"/>
    <n v="-56.766157677473501"/>
    <n v="2760"/>
    <n v="600"/>
    <n v="150"/>
    <x v="10"/>
  </r>
  <r>
    <s v="FL1021"/>
    <s v="Miami"/>
    <x v="3"/>
    <n v="12"/>
    <x v="0"/>
    <n v="140.45080946256499"/>
    <n v="-28.4206282445531"/>
    <n v="3000"/>
    <n v="374"/>
    <n v="200"/>
    <x v="14"/>
  </r>
  <r>
    <s v="FL1022"/>
    <s v="Houston"/>
    <x v="4"/>
    <n v="8"/>
    <x v="0"/>
    <n v="74.779686096309902"/>
    <n v="-12.6076284396321"/>
    <n v="2500"/>
    <n v="402"/>
    <n v="100"/>
    <x v="11"/>
  </r>
  <r>
    <s v="FL1023"/>
    <s v="New York"/>
    <x v="1"/>
    <n v="9"/>
    <x v="0"/>
    <n v="-157.60683858070701"/>
    <n v="59.570850789912299"/>
    <n v="2800"/>
    <n v="356"/>
    <n v="120"/>
    <x v="15"/>
  </r>
  <r>
    <s v="FL1024"/>
    <s v="New York"/>
    <x v="3"/>
    <n v="12"/>
    <x v="1"/>
    <n v="-126.970904059571"/>
    <n v="-68.419603174911799"/>
    <n v="2000"/>
    <n v="374"/>
    <n v="50"/>
    <x v="16"/>
  </r>
  <r>
    <s v="FL1025"/>
    <s v="Chicago"/>
    <x v="1"/>
    <n v="9"/>
    <x v="0"/>
    <n v="-177.17702732211001"/>
    <n v="42.286652531081003"/>
    <n v="2678"/>
    <n v="356"/>
    <n v="137"/>
    <x v="17"/>
  </r>
  <r>
    <s v="FL1026"/>
    <s v="Chicago"/>
    <x v="3"/>
    <n v="9"/>
    <x v="0"/>
    <n v="47.131844482498799"/>
    <n v="5.6618845540749598"/>
    <n v="3000"/>
    <n v="300"/>
    <n v="50"/>
    <x v="6"/>
  </r>
  <r>
    <s v="FL1027"/>
    <s v="Los Angeles"/>
    <x v="2"/>
    <n v="7"/>
    <x v="0"/>
    <n v="-18.837566852249399"/>
    <n v="-38.169838318321297"/>
    <n v="2500"/>
    <n v="354"/>
    <n v="150"/>
    <x v="18"/>
  </r>
  <r>
    <s v="FL1028"/>
    <s v="Houston"/>
    <x v="0"/>
    <n v="10"/>
    <x v="0"/>
    <n v="-131.66105367518099"/>
    <n v="-1.29247478409157"/>
    <n v="2550"/>
    <n v="397"/>
    <n v="120"/>
    <x v="0"/>
  </r>
  <r>
    <s v="FL1029"/>
    <s v="Houston"/>
    <x v="3"/>
    <n v="8"/>
    <x v="0"/>
    <n v="164.85628358043701"/>
    <n v="-36.010427440135899"/>
    <n v="2846"/>
    <n v="374"/>
    <n v="138"/>
    <x v="8"/>
  </r>
  <r>
    <s v="FL1030"/>
    <s v="Chicago"/>
    <x v="1"/>
    <n v="9"/>
    <x v="0"/>
    <n v="10.677500620423199"/>
    <n v="17.2947519428951"/>
    <n v="2678"/>
    <n v="356"/>
    <n v="137"/>
    <x v="17"/>
  </r>
  <r>
    <s v="FL1031"/>
    <s v="Houston"/>
    <x v="2"/>
    <n v="9"/>
    <x v="0"/>
    <n v="-92.918414119359895"/>
    <n v="-11.908093886055999"/>
    <n v="2647"/>
    <n v="354"/>
    <n v="113"/>
    <x v="19"/>
  </r>
  <r>
    <s v="FL1032"/>
    <s v="Houston"/>
    <x v="3"/>
    <n v="5"/>
    <x v="0"/>
    <n v="0.21728561569471999"/>
    <n v="-60.407004765801801"/>
    <n v="2500"/>
    <n v="450"/>
    <n v="200"/>
    <x v="8"/>
  </r>
  <r>
    <s v="FL1033"/>
    <s v="New York"/>
    <x v="4"/>
    <n v="11"/>
    <x v="0"/>
    <n v="64.663319784638801"/>
    <n v="-69.015046579974594"/>
    <n v="2588"/>
    <n v="402"/>
    <n v="134"/>
    <x v="20"/>
  </r>
  <r>
    <s v="FL1034"/>
    <s v="Chicago"/>
    <x v="0"/>
    <n v="9"/>
    <x v="0"/>
    <n v="-152.55388152951701"/>
    <n v="8.4052227729834197"/>
    <n v="2500"/>
    <n v="600"/>
    <n v="200"/>
    <x v="2"/>
  </r>
  <r>
    <s v="FL1035"/>
    <s v="Miami"/>
    <x v="3"/>
    <n v="5"/>
    <x v="2"/>
    <n v="-81.106626582758906"/>
    <n v="72.434345991498603"/>
    <n v="2000"/>
    <n v="300"/>
    <n v="150"/>
    <x v="14"/>
  </r>
  <r>
    <s v="FL1036"/>
    <s v="Chicago"/>
    <x v="2"/>
    <n v="5"/>
    <x v="0"/>
    <n v="110.507576718238"/>
    <n v="-28.087616419616602"/>
    <n v="3500"/>
    <n v="354"/>
    <n v="121"/>
    <x v="5"/>
  </r>
  <r>
    <s v="FL1037"/>
    <s v="Miami"/>
    <x v="4"/>
    <n v="9"/>
    <x v="0"/>
    <n v="-14.520646655042"/>
    <n v="41.940019300072201"/>
    <n v="2000"/>
    <n v="300"/>
    <n v="200"/>
    <x v="21"/>
  </r>
  <r>
    <s v="FL1038"/>
    <s v="New York"/>
    <x v="2"/>
    <n v="9"/>
    <x v="0"/>
    <n v="16.767771131626201"/>
    <n v="28.559043889158101"/>
    <n v="3500"/>
    <n v="450"/>
    <n v="150"/>
    <x v="13"/>
  </r>
  <r>
    <s v="FL1039"/>
    <s v="Los Angeles"/>
    <x v="2"/>
    <n v="8"/>
    <x v="0"/>
    <n v="-24.1862392045911"/>
    <n v="77.679884575706595"/>
    <n v="2882"/>
    <n v="354"/>
    <n v="125"/>
    <x v="18"/>
  </r>
  <r>
    <s v="FL1040"/>
    <s v="Houston"/>
    <x v="4"/>
    <n v="12"/>
    <x v="0"/>
    <n v="-164.19602064851799"/>
    <n v="57.776583113845398"/>
    <n v="3000"/>
    <n v="402"/>
    <n v="200"/>
    <x v="11"/>
  </r>
  <r>
    <s v="FL1041"/>
    <s v="New York"/>
    <x v="2"/>
    <n v="9"/>
    <x v="0"/>
    <n v="-120.330079264744"/>
    <n v="11.988946602983299"/>
    <n v="2847"/>
    <n v="354"/>
    <n v="122"/>
    <x v="13"/>
  </r>
  <r>
    <s v="FL1042"/>
    <s v="Houston"/>
    <x v="4"/>
    <n v="5"/>
    <x v="1"/>
    <n v="-19.605010052919301"/>
    <n v="28.2654896821393"/>
    <n v="2500"/>
    <n v="300"/>
    <n v="150"/>
    <x v="11"/>
  </r>
  <r>
    <s v="FL1043"/>
    <s v="Los Angeles"/>
    <x v="3"/>
    <n v="12"/>
    <x v="0"/>
    <n v="-104.693232453146"/>
    <n v="71.709563985126294"/>
    <n v="2500"/>
    <n v="450"/>
    <n v="50"/>
    <x v="10"/>
  </r>
  <r>
    <s v="FL1044"/>
    <s v="Los Angeles"/>
    <x v="4"/>
    <n v="11"/>
    <x v="0"/>
    <n v="-162.00754968251599"/>
    <n v="-18.086618774351699"/>
    <n v="2794"/>
    <n v="402"/>
    <n v="113"/>
    <x v="22"/>
  </r>
  <r>
    <s v="FL1045"/>
    <s v="New York"/>
    <x v="4"/>
    <n v="12"/>
    <x v="2"/>
    <n v="123.713879058657"/>
    <n v="-31.1769529456001"/>
    <n v="3000"/>
    <n v="450"/>
    <n v="134"/>
    <x v="20"/>
  </r>
  <r>
    <s v="FL1046"/>
    <s v="Los Angeles"/>
    <x v="0"/>
    <n v="15"/>
    <x v="0"/>
    <n v="173.229310499082"/>
    <n v="-88.054004945664701"/>
    <n v="3500"/>
    <n v="397"/>
    <n v="150"/>
    <x v="23"/>
  </r>
  <r>
    <s v="FL1047"/>
    <s v="Miami"/>
    <x v="4"/>
    <n v="12"/>
    <x v="2"/>
    <n v="105.531434638826"/>
    <n v="58.779193354463601"/>
    <n v="2500"/>
    <n v="600"/>
    <n v="200"/>
    <x v="21"/>
  </r>
  <r>
    <s v="FL1048"/>
    <s v="Los Angeles"/>
    <x v="4"/>
    <n v="9"/>
    <x v="1"/>
    <n v="127.36257181368001"/>
    <n v="54.176526072605697"/>
    <n v="3000"/>
    <n v="450"/>
    <n v="150"/>
    <x v="22"/>
  </r>
  <r>
    <s v="FL1049"/>
    <s v="Houston"/>
    <x v="3"/>
    <n v="8"/>
    <x v="0"/>
    <n v="-92.888233085863703"/>
    <n v="-71.198186741972705"/>
    <n v="2846"/>
    <n v="374"/>
    <n v="138"/>
    <x v="8"/>
  </r>
  <r>
    <s v="FL1050"/>
    <s v="Houston"/>
    <x v="0"/>
    <n v="10"/>
    <x v="0"/>
    <n v="165.82571118475201"/>
    <n v="13.834328603886"/>
    <n v="3500"/>
    <n v="300"/>
    <n v="100"/>
    <x v="0"/>
  </r>
  <r>
    <s v="FL1051"/>
    <s v="Houston"/>
    <x v="1"/>
    <n v="7"/>
    <x v="1"/>
    <n v="-109.106746396766"/>
    <n v="-6.4832943299602697"/>
    <n v="3000"/>
    <n v="450"/>
    <n v="50"/>
    <x v="12"/>
  </r>
  <r>
    <s v="FL1052"/>
    <s v="Houston"/>
    <x v="3"/>
    <n v="9"/>
    <x v="2"/>
    <n v="162.51473173026"/>
    <n v="-68.6323628083599"/>
    <n v="2000"/>
    <n v="450"/>
    <n v="50"/>
    <x v="8"/>
  </r>
  <r>
    <s v="FL1053"/>
    <s v="Miami"/>
    <x v="3"/>
    <n v="8"/>
    <x v="0"/>
    <n v="178.134945827742"/>
    <n v="86.502280870930207"/>
    <n v="2000"/>
    <n v="150"/>
    <n v="100"/>
    <x v="14"/>
  </r>
  <r>
    <s v="FL1054"/>
    <s v="Chicago"/>
    <x v="1"/>
    <n v="9"/>
    <x v="0"/>
    <n v="76.2202100685776"/>
    <n v="-51.354740256596003"/>
    <n v="2678"/>
    <n v="356"/>
    <n v="137"/>
    <x v="17"/>
  </r>
  <r>
    <s v="FL1055"/>
    <s v="New York"/>
    <x v="4"/>
    <n v="11"/>
    <x v="0"/>
    <n v="173.21174344505599"/>
    <n v="-77.897847583699004"/>
    <n v="2588"/>
    <n v="402"/>
    <n v="134"/>
    <x v="20"/>
  </r>
  <r>
    <s v="FL1056"/>
    <s v="Houston"/>
    <x v="2"/>
    <n v="9"/>
    <x v="0"/>
    <n v="25.034320644157301"/>
    <n v="17.072528310343699"/>
    <n v="2647"/>
    <n v="354"/>
    <n v="113"/>
    <x v="19"/>
  </r>
  <r>
    <s v="FL1057"/>
    <s v="Los Angeles"/>
    <x v="0"/>
    <n v="9"/>
    <x v="0"/>
    <n v="-86.564958056607495"/>
    <n v="42.996001883945901"/>
    <n v="3500"/>
    <n v="600"/>
    <n v="50"/>
    <x v="23"/>
  </r>
  <r>
    <s v="FL1058"/>
    <s v="Houston"/>
    <x v="2"/>
    <n v="9"/>
    <x v="1"/>
    <n v="-22.681481160376499"/>
    <n v="-84.160179711506302"/>
    <n v="3000"/>
    <n v="450"/>
    <n v="200"/>
    <x v="19"/>
  </r>
  <r>
    <s v="FL1059"/>
    <s v="Los Angeles"/>
    <x v="1"/>
    <n v="8"/>
    <x v="0"/>
    <n v="33.681936736362999"/>
    <n v="28.569174970864001"/>
    <n v="3000"/>
    <n v="356"/>
    <n v="145"/>
    <x v="4"/>
  </r>
  <r>
    <s v="FL1060"/>
    <s v="Los Angeles"/>
    <x v="3"/>
    <n v="8"/>
    <x v="0"/>
    <n v="-153.69063767027501"/>
    <n v="5.81253767126179"/>
    <n v="2760"/>
    <n v="374"/>
    <n v="131"/>
    <x v="10"/>
  </r>
  <r>
    <s v="FL1061"/>
    <s v="Houston"/>
    <x v="3"/>
    <n v="12"/>
    <x v="0"/>
    <n v="44.043575262208599"/>
    <n v="-71.412298402491302"/>
    <n v="3500"/>
    <n v="150"/>
    <n v="138"/>
    <x v="8"/>
  </r>
  <r>
    <s v="FL1062"/>
    <s v="Miami"/>
    <x v="0"/>
    <n v="7"/>
    <x v="0"/>
    <n v="173.224021234426"/>
    <n v="-58.945702149654799"/>
    <n v="2729"/>
    <n v="450"/>
    <n v="126"/>
    <x v="1"/>
  </r>
  <r>
    <s v="FL1063"/>
    <s v="Los Angeles"/>
    <x v="3"/>
    <n v="8"/>
    <x v="0"/>
    <n v="-111.561246077858"/>
    <n v="12.2353735168945"/>
    <n v="2760"/>
    <n v="374"/>
    <n v="131"/>
    <x v="10"/>
  </r>
  <r>
    <s v="FL1064"/>
    <s v="Los Angeles"/>
    <x v="3"/>
    <n v="5"/>
    <x v="0"/>
    <n v="105.33424186381799"/>
    <n v="-36.655629567608102"/>
    <n v="2000"/>
    <n v="600"/>
    <n v="200"/>
    <x v="10"/>
  </r>
  <r>
    <s v="FL1065"/>
    <s v="Houston"/>
    <x v="0"/>
    <n v="10"/>
    <x v="0"/>
    <n v="146.84356576066301"/>
    <n v="78.896831157236903"/>
    <n v="2550"/>
    <n v="397"/>
    <n v="120"/>
    <x v="0"/>
  </r>
  <r>
    <s v="FL1066"/>
    <s v="Los Angeles"/>
    <x v="0"/>
    <n v="10"/>
    <x v="0"/>
    <n v="159.73257341527901"/>
    <n v="57.373241307129099"/>
    <n v="2586"/>
    <n v="397"/>
    <n v="119"/>
    <x v="23"/>
  </r>
  <r>
    <s v="FL1067"/>
    <s v="Los Angeles"/>
    <x v="1"/>
    <n v="8"/>
    <x v="0"/>
    <n v="165.64881758596101"/>
    <n v="87.042097172459293"/>
    <n v="3000"/>
    <n v="356"/>
    <n v="145"/>
    <x v="4"/>
  </r>
  <r>
    <s v="FL1068"/>
    <s v="Houston"/>
    <x v="3"/>
    <n v="12"/>
    <x v="0"/>
    <n v="7.7254699397298898"/>
    <n v="-43.259248988925499"/>
    <n v="2500"/>
    <n v="600"/>
    <n v="200"/>
    <x v="8"/>
  </r>
  <r>
    <s v="FL1069"/>
    <s v="Houston"/>
    <x v="3"/>
    <n v="8"/>
    <x v="0"/>
    <n v="171.830846876941"/>
    <n v="84.550253903635905"/>
    <n v="2846"/>
    <n v="374"/>
    <n v="138"/>
    <x v="8"/>
  </r>
  <r>
    <s v="FL1070"/>
    <s v="New York"/>
    <x v="1"/>
    <n v="9"/>
    <x v="0"/>
    <n v="92.631674568397997"/>
    <n v="-12.377903437519601"/>
    <n v="2800"/>
    <n v="356"/>
    <n v="120"/>
    <x v="15"/>
  </r>
  <r>
    <s v="FL1071"/>
    <s v="Miami"/>
    <x v="4"/>
    <n v="7"/>
    <x v="0"/>
    <n v="-121.798282954694"/>
    <n v="-27.4466168435242"/>
    <n v="2000"/>
    <n v="300"/>
    <n v="128"/>
    <x v="21"/>
  </r>
  <r>
    <s v="FL1072"/>
    <s v="Miami"/>
    <x v="4"/>
    <n v="9"/>
    <x v="0"/>
    <n v="-8.3159616715308005"/>
    <n v="-80.937085145516406"/>
    <n v="2700"/>
    <n v="402"/>
    <n v="128"/>
    <x v="21"/>
  </r>
  <r>
    <s v="FL1073"/>
    <s v="Los Angeles"/>
    <x v="4"/>
    <n v="11"/>
    <x v="0"/>
    <n v="78.599223133921399"/>
    <n v="-80.502253585271504"/>
    <n v="2794"/>
    <n v="402"/>
    <n v="113"/>
    <x v="22"/>
  </r>
  <r>
    <s v="FL1074"/>
    <s v="Miami"/>
    <x v="1"/>
    <n v="15"/>
    <x v="2"/>
    <n v="-90.957486305130004"/>
    <n v="34.562026070397799"/>
    <n v="2000"/>
    <n v="356"/>
    <n v="50"/>
    <x v="3"/>
  </r>
  <r>
    <s v="FL1075"/>
    <s v="Los Angeles"/>
    <x v="3"/>
    <n v="15"/>
    <x v="0"/>
    <n v="50.6214660775995"/>
    <n v="-7.5727810018749704"/>
    <n v="3500"/>
    <n v="300"/>
    <n v="131"/>
    <x v="10"/>
  </r>
  <r>
    <s v="FL1076"/>
    <s v="New York"/>
    <x v="1"/>
    <n v="9"/>
    <x v="0"/>
    <n v="59.976172456782898"/>
    <n v="-49.226107313500997"/>
    <n v="2800"/>
    <n v="356"/>
    <n v="120"/>
    <x v="15"/>
  </r>
  <r>
    <s v="FL1077"/>
    <s v="Houston"/>
    <x v="1"/>
    <n v="9"/>
    <x v="0"/>
    <n v="-121.428092228916"/>
    <n v="20.514655138541901"/>
    <n v="2500"/>
    <n v="356"/>
    <n v="127"/>
    <x v="12"/>
  </r>
  <r>
    <s v="FL1078"/>
    <s v="Houston"/>
    <x v="4"/>
    <n v="8"/>
    <x v="0"/>
    <n v="23.430712482992199"/>
    <n v="-44.485538714980002"/>
    <n v="2500"/>
    <n v="402"/>
    <n v="111"/>
    <x v="11"/>
  </r>
  <r>
    <s v="FL1079"/>
    <s v="Houston"/>
    <x v="2"/>
    <n v="9"/>
    <x v="0"/>
    <n v="97.785687952298801"/>
    <n v="13.9737157819961"/>
    <n v="2647"/>
    <n v="354"/>
    <n v="113"/>
    <x v="19"/>
  </r>
  <r>
    <s v="FL1080"/>
    <s v="Miami"/>
    <x v="3"/>
    <n v="5"/>
    <x v="1"/>
    <n v="-0.39756076706089499"/>
    <n v="-25.342425543115699"/>
    <n v="2000"/>
    <n v="600"/>
    <n v="150"/>
    <x v="14"/>
  </r>
  <r>
    <s v="FL1081"/>
    <s v="New York"/>
    <x v="4"/>
    <n v="11"/>
    <x v="0"/>
    <n v="-175.642877960601"/>
    <n v="58.239400790127398"/>
    <n v="2588"/>
    <n v="402"/>
    <n v="134"/>
    <x v="20"/>
  </r>
  <r>
    <s v="FL1082"/>
    <s v="Miami"/>
    <x v="2"/>
    <n v="8"/>
    <x v="0"/>
    <n v="-176.74615113145501"/>
    <n v="57.725308938020298"/>
    <n v="2718"/>
    <n v="354"/>
    <n v="115"/>
    <x v="7"/>
  </r>
  <r>
    <s v="FL1083"/>
    <s v="Miami"/>
    <x v="2"/>
    <n v="12"/>
    <x v="0"/>
    <n v="-51.469436170795603"/>
    <n v="-4.0769283379677601"/>
    <n v="2718"/>
    <n v="300"/>
    <n v="200"/>
    <x v="7"/>
  </r>
  <r>
    <s v="FL1084"/>
    <s v="New York"/>
    <x v="0"/>
    <n v="9"/>
    <x v="0"/>
    <n v="153.42986463544199"/>
    <n v="-26.852560319697201"/>
    <n v="2954"/>
    <n v="397"/>
    <n v="128"/>
    <x v="24"/>
  </r>
  <r>
    <s v="FL1085"/>
    <s v="New York"/>
    <x v="3"/>
    <n v="9"/>
    <x v="2"/>
    <n v="-97.676359342700806"/>
    <n v="-24.739236619362998"/>
    <n v="2000"/>
    <n v="600"/>
    <n v="50"/>
    <x v="16"/>
  </r>
  <r>
    <s v="FL1086"/>
    <s v="New York"/>
    <x v="2"/>
    <n v="9"/>
    <x v="0"/>
    <n v="48.370927993807399"/>
    <n v="55.0286146202792"/>
    <n v="2847"/>
    <n v="354"/>
    <n v="122"/>
    <x v="13"/>
  </r>
  <r>
    <s v="FL1087"/>
    <s v="New York"/>
    <x v="4"/>
    <n v="15"/>
    <x v="2"/>
    <n v="-100.052686550405"/>
    <n v="-30.927693096429799"/>
    <n v="2000"/>
    <n v="150"/>
    <n v="150"/>
    <x v="20"/>
  </r>
  <r>
    <s v="FL1088"/>
    <s v="Houston"/>
    <x v="0"/>
    <n v="10"/>
    <x v="0"/>
    <n v="-64.198803722562502"/>
    <n v="-52.369312732767703"/>
    <n v="2550"/>
    <n v="397"/>
    <n v="120"/>
    <x v="0"/>
  </r>
  <r>
    <s v="FL1089"/>
    <s v="Chicago"/>
    <x v="3"/>
    <n v="9"/>
    <x v="2"/>
    <n v="125.295152256534"/>
    <n v="-74.756098462444797"/>
    <n v="2678"/>
    <n v="450"/>
    <n v="116"/>
    <x v="6"/>
  </r>
  <r>
    <s v="FL1090"/>
    <s v="Chicago"/>
    <x v="1"/>
    <n v="9"/>
    <x v="0"/>
    <n v="82.390119217180896"/>
    <n v="-5.9952382408064899"/>
    <n v="2678"/>
    <n v="356"/>
    <n v="137"/>
    <x v="17"/>
  </r>
  <r>
    <s v="FL1091"/>
    <s v="New York"/>
    <x v="4"/>
    <n v="15"/>
    <x v="0"/>
    <n v="-145.656260167244"/>
    <n v="-3.2162221944284699"/>
    <n v="3500"/>
    <n v="402"/>
    <n v="100"/>
    <x v="20"/>
  </r>
  <r>
    <s v="FL1092"/>
    <s v="Chicago"/>
    <x v="2"/>
    <n v="12"/>
    <x v="0"/>
    <n v="-25.667272444883899"/>
    <n v="61.363567872523298"/>
    <n v="3000"/>
    <n v="300"/>
    <n v="50"/>
    <x v="5"/>
  </r>
  <r>
    <s v="FL1093"/>
    <s v="Chicago"/>
    <x v="2"/>
    <n v="12"/>
    <x v="2"/>
    <n v="-169.49888508770499"/>
    <n v="-50.177034639708502"/>
    <n v="2928"/>
    <n v="354"/>
    <n v="200"/>
    <x v="5"/>
  </r>
  <r>
    <s v="FL1094"/>
    <s v="New York"/>
    <x v="4"/>
    <n v="5"/>
    <x v="2"/>
    <n v="-6.8795472229167602"/>
    <n v="-21.421570739688001"/>
    <n v="2500"/>
    <n v="402"/>
    <n v="150"/>
    <x v="20"/>
  </r>
  <r>
    <s v="FL1095"/>
    <s v="Chicago"/>
    <x v="2"/>
    <n v="5"/>
    <x v="1"/>
    <n v="58.476244212384501"/>
    <n v="55.513033000864397"/>
    <n v="3500"/>
    <n v="354"/>
    <n v="50"/>
    <x v="5"/>
  </r>
  <r>
    <s v="FL1096"/>
    <s v="Miami"/>
    <x v="0"/>
    <n v="9"/>
    <x v="0"/>
    <n v="-137.33905550466599"/>
    <n v="58.252249934815197"/>
    <n v="2729"/>
    <n v="397"/>
    <n v="126"/>
    <x v="1"/>
  </r>
  <r>
    <s v="FL1097"/>
    <s v="Los Angeles"/>
    <x v="3"/>
    <n v="8"/>
    <x v="0"/>
    <n v="-76.001421992700401"/>
    <n v="-20.770006323821701"/>
    <n v="2760"/>
    <n v="374"/>
    <n v="131"/>
    <x v="10"/>
  </r>
  <r>
    <s v="FL1098"/>
    <s v="Los Angeles"/>
    <x v="0"/>
    <n v="12"/>
    <x v="0"/>
    <n v="-36.778814819223498"/>
    <n v="-7.3576758083974498"/>
    <n v="2500"/>
    <n v="300"/>
    <n v="200"/>
    <x v="23"/>
  </r>
  <r>
    <s v="FL1099"/>
    <s v="New York"/>
    <x v="2"/>
    <n v="9"/>
    <x v="2"/>
    <n v="151.03116887617799"/>
    <n v="-35.408539647129103"/>
    <n v="3000"/>
    <n v="354"/>
    <n v="150"/>
    <x v="13"/>
  </r>
  <r>
    <s v="FL1100"/>
    <s v="Houston"/>
    <x v="1"/>
    <n v="9"/>
    <x v="0"/>
    <n v="177.57180555226699"/>
    <n v="77.859878115476207"/>
    <n v="2000"/>
    <n v="450"/>
    <n v="200"/>
    <x v="12"/>
  </r>
  <r>
    <s v="FL1101"/>
    <s v="New York"/>
    <x v="3"/>
    <n v="9"/>
    <x v="0"/>
    <n v="-163.831932361578"/>
    <n v="-68.644122166515501"/>
    <n v="2760"/>
    <n v="374"/>
    <n v="107"/>
    <x v="16"/>
  </r>
  <r>
    <s v="FL1102"/>
    <s v="Houston"/>
    <x v="3"/>
    <n v="5"/>
    <x v="0"/>
    <n v="93.962852458341203"/>
    <n v="78.074896140264599"/>
    <n v="3000"/>
    <n v="374"/>
    <n v="138"/>
    <x v="8"/>
  </r>
  <r>
    <s v="FL1103"/>
    <s v="Los Angeles"/>
    <x v="4"/>
    <n v="15"/>
    <x v="0"/>
    <n v="-46.179336095156401"/>
    <n v="33.095961330361803"/>
    <n v="3500"/>
    <n v="450"/>
    <n v="50"/>
    <x v="22"/>
  </r>
  <r>
    <s v="FL1104"/>
    <s v="New York"/>
    <x v="4"/>
    <n v="12"/>
    <x v="0"/>
    <n v="-38.715052957387201"/>
    <n v="5.6829874836116101"/>
    <n v="2588"/>
    <n v="600"/>
    <n v="150"/>
    <x v="20"/>
  </r>
  <r>
    <s v="FL1105"/>
    <s v="Miami"/>
    <x v="1"/>
    <n v="10"/>
    <x v="1"/>
    <n v="91.535390404928194"/>
    <n v="-84.121369058790705"/>
    <n v="3500"/>
    <n v="356"/>
    <n v="105"/>
    <x v="3"/>
  </r>
  <r>
    <s v="FL1106"/>
    <s v="Chicago"/>
    <x v="3"/>
    <n v="12"/>
    <x v="0"/>
    <n v="150.63351557234699"/>
    <n v="-4.3926854720385098"/>
    <n v="2500"/>
    <n v="450"/>
    <n v="100"/>
    <x v="6"/>
  </r>
  <r>
    <s v="FL1107"/>
    <s v="Houston"/>
    <x v="1"/>
    <n v="9"/>
    <x v="0"/>
    <n v="162.33429402091701"/>
    <n v="-16.605341099508198"/>
    <n v="2500"/>
    <n v="356"/>
    <n v="127"/>
    <x v="12"/>
  </r>
  <r>
    <s v="FL1108"/>
    <s v="Chicago"/>
    <x v="4"/>
    <n v="10"/>
    <x v="0"/>
    <n v="27.764130973795499"/>
    <n v="-60.980613844477901"/>
    <n v="2636"/>
    <n v="402"/>
    <n v="114"/>
    <x v="9"/>
  </r>
  <r>
    <s v="FL1109"/>
    <s v="Chicago"/>
    <x v="4"/>
    <n v="10"/>
    <x v="0"/>
    <n v="-51.436382651819002"/>
    <n v="28.153728630118199"/>
    <n v="2636"/>
    <n v="402"/>
    <n v="114"/>
    <x v="9"/>
  </r>
  <r>
    <s v="FL1110"/>
    <s v="New York"/>
    <x v="3"/>
    <n v="9"/>
    <x v="0"/>
    <n v="103.517670909161"/>
    <n v="84.807163326291402"/>
    <n v="2760"/>
    <n v="374"/>
    <n v="107"/>
    <x v="16"/>
  </r>
  <r>
    <s v="FL1111"/>
    <s v="Chicago"/>
    <x v="0"/>
    <n v="5"/>
    <x v="0"/>
    <n v="-89.6395020255719"/>
    <n v="11.1939859916145"/>
    <n v="2500"/>
    <n v="300"/>
    <n v="133"/>
    <x v="2"/>
  </r>
  <r>
    <s v="FL1112"/>
    <s v="Miami"/>
    <x v="2"/>
    <n v="7"/>
    <x v="0"/>
    <n v="23.066650380066399"/>
    <n v="38.6555897599102"/>
    <n v="2500"/>
    <n v="450"/>
    <n v="50"/>
    <x v="7"/>
  </r>
  <r>
    <s v="FL1113"/>
    <s v="Chicago"/>
    <x v="4"/>
    <n v="15"/>
    <x v="0"/>
    <n v="-50.911753851045702"/>
    <n v="-77.678918538117003"/>
    <n v="2636"/>
    <n v="150"/>
    <n v="200"/>
    <x v="9"/>
  </r>
  <r>
    <s v="FL1114"/>
    <s v="New York"/>
    <x v="4"/>
    <n v="7"/>
    <x v="0"/>
    <n v="56.387186534835401"/>
    <n v="-14.8199407529409"/>
    <n v="2000"/>
    <n v="450"/>
    <n v="100"/>
    <x v="20"/>
  </r>
  <r>
    <s v="FL1115"/>
    <s v="Miami"/>
    <x v="0"/>
    <n v="5"/>
    <x v="0"/>
    <n v="-93.456391358337498"/>
    <n v="-69.055472670390699"/>
    <n v="2729"/>
    <n v="150"/>
    <n v="200"/>
    <x v="1"/>
  </r>
  <r>
    <s v="FL1116"/>
    <s v="Los Angeles"/>
    <x v="0"/>
    <n v="15"/>
    <x v="2"/>
    <n v="-111.026539535463"/>
    <n v="20.303250396571901"/>
    <n v="3500"/>
    <n v="397"/>
    <n v="200"/>
    <x v="23"/>
  </r>
  <r>
    <s v="FL1117"/>
    <s v="Chicago"/>
    <x v="1"/>
    <n v="7"/>
    <x v="0"/>
    <n v="150.56607120315701"/>
    <n v="78.926788478547806"/>
    <n v="2000"/>
    <n v="356"/>
    <n v="200"/>
    <x v="17"/>
  </r>
  <r>
    <s v="FL1118"/>
    <s v="New York"/>
    <x v="1"/>
    <n v="9"/>
    <x v="0"/>
    <n v="-143.35067413816699"/>
    <n v="29.119991844894901"/>
    <n v="2800"/>
    <n v="356"/>
    <n v="120"/>
    <x v="15"/>
  </r>
  <r>
    <s v="FL1119"/>
    <s v="Los Angeles"/>
    <x v="2"/>
    <n v="5"/>
    <x v="0"/>
    <n v="2.1448467845754098"/>
    <n v="-76.175451303404103"/>
    <n v="2000"/>
    <n v="354"/>
    <n v="50"/>
    <x v="18"/>
  </r>
  <r>
    <s v="FL1120"/>
    <s v="Los Angeles"/>
    <x v="2"/>
    <n v="8"/>
    <x v="0"/>
    <n v="-100.492998133317"/>
    <n v="-26.1600831026851"/>
    <n v="2882"/>
    <n v="354"/>
    <n v="125"/>
    <x v="18"/>
  </r>
  <r>
    <s v="FL1121"/>
    <s v="Houston"/>
    <x v="3"/>
    <n v="5"/>
    <x v="0"/>
    <n v="-165.98521320276001"/>
    <n v="9.1194082993532799"/>
    <n v="2500"/>
    <n v="300"/>
    <n v="200"/>
    <x v="8"/>
  </r>
  <r>
    <s v="FL1122"/>
    <s v="Miami"/>
    <x v="1"/>
    <n v="9"/>
    <x v="1"/>
    <n v="-167.03322541508601"/>
    <n v="-17.4226038960146"/>
    <n v="3000"/>
    <n v="300"/>
    <n v="50"/>
    <x v="3"/>
  </r>
  <r>
    <s v="FL1123"/>
    <s v="Chicago"/>
    <x v="4"/>
    <n v="9"/>
    <x v="0"/>
    <n v="-116.920162041902"/>
    <n v="60.055921885530999"/>
    <n v="2500"/>
    <n v="150"/>
    <n v="100"/>
    <x v="9"/>
  </r>
  <r>
    <s v="FL1124"/>
    <s v="New York"/>
    <x v="1"/>
    <n v="12"/>
    <x v="0"/>
    <n v="132.03732762216001"/>
    <n v="56.640780847798098"/>
    <n v="2800"/>
    <n v="356"/>
    <n v="100"/>
    <x v="15"/>
  </r>
  <r>
    <s v="FL1125"/>
    <s v="Houston"/>
    <x v="4"/>
    <n v="8"/>
    <x v="0"/>
    <n v="-78.307652168270394"/>
    <n v="20.1295836185799"/>
    <n v="2500"/>
    <n v="402"/>
    <n v="111"/>
    <x v="11"/>
  </r>
  <r>
    <s v="FL1126"/>
    <s v="Miami"/>
    <x v="0"/>
    <n v="7"/>
    <x v="2"/>
    <n v="162.16530140710699"/>
    <n v="-22.777569876112999"/>
    <n v="2500"/>
    <n v="300"/>
    <n v="150"/>
    <x v="1"/>
  </r>
  <r>
    <s v="FL1127"/>
    <s v="Houston"/>
    <x v="1"/>
    <n v="12"/>
    <x v="1"/>
    <n v="29.384025476109699"/>
    <n v="-44.039452722615998"/>
    <n v="2500"/>
    <n v="300"/>
    <n v="200"/>
    <x v="12"/>
  </r>
  <r>
    <s v="FL1128"/>
    <s v="Miami"/>
    <x v="0"/>
    <n v="7"/>
    <x v="0"/>
    <n v="-22.8188916832442"/>
    <n v="-70.942622721636695"/>
    <n v="3500"/>
    <n v="397"/>
    <n v="150"/>
    <x v="1"/>
  </r>
  <r>
    <s v="FL1129"/>
    <s v="Miami"/>
    <x v="2"/>
    <n v="8"/>
    <x v="0"/>
    <n v="28.831980481003701"/>
    <n v="-26.118416972420299"/>
    <n v="3000"/>
    <n v="600"/>
    <n v="100"/>
    <x v="7"/>
  </r>
  <r>
    <s v="FL1130"/>
    <s v="Chicago"/>
    <x v="2"/>
    <n v="9"/>
    <x v="0"/>
    <n v="6.0114186814564103"/>
    <n v="-15.628946902610499"/>
    <n v="2500"/>
    <n v="600"/>
    <n v="50"/>
    <x v="5"/>
  </r>
  <r>
    <s v="FL1131"/>
    <s v="Miami"/>
    <x v="3"/>
    <n v="8"/>
    <x v="0"/>
    <n v="93.159451352637106"/>
    <n v="31.648126518733299"/>
    <n v="2615"/>
    <n v="374"/>
    <n v="121"/>
    <x v="14"/>
  </r>
  <r>
    <s v="FL1132"/>
    <s v="Houston"/>
    <x v="1"/>
    <n v="9"/>
    <x v="0"/>
    <n v="-78.301416249773197"/>
    <n v="28.468768373563201"/>
    <n v="2500"/>
    <n v="356"/>
    <n v="127"/>
    <x v="12"/>
  </r>
  <r>
    <s v="FL1133"/>
    <s v="Miami"/>
    <x v="0"/>
    <n v="9"/>
    <x v="0"/>
    <n v="-52.901859023891099"/>
    <n v="-77.380534864573704"/>
    <n v="2729"/>
    <n v="397"/>
    <n v="126"/>
    <x v="1"/>
  </r>
  <r>
    <s v="FL1134"/>
    <s v="Chicago"/>
    <x v="4"/>
    <n v="12"/>
    <x v="1"/>
    <n v="141.87394891196999"/>
    <n v="-18.853323222391602"/>
    <n v="3000"/>
    <n v="402"/>
    <n v="100"/>
    <x v="9"/>
  </r>
  <r>
    <s v="FL1135"/>
    <s v="Chicago"/>
    <x v="2"/>
    <n v="10"/>
    <x v="0"/>
    <n v="160.724344734146"/>
    <n v="-57.279803900874903"/>
    <n v="2928"/>
    <n v="354"/>
    <n v="121"/>
    <x v="5"/>
  </r>
  <r>
    <s v="FL1136"/>
    <s v="Houston"/>
    <x v="2"/>
    <n v="9"/>
    <x v="0"/>
    <n v="141.32096189513101"/>
    <n v="-61.773713042974997"/>
    <n v="2647"/>
    <n v="354"/>
    <n v="113"/>
    <x v="19"/>
  </r>
  <r>
    <s v="FL1137"/>
    <s v="Los Angeles"/>
    <x v="4"/>
    <n v="11"/>
    <x v="0"/>
    <n v="-28.998722175367099"/>
    <n v="58.914386952704298"/>
    <n v="2794"/>
    <n v="402"/>
    <n v="113"/>
    <x v="22"/>
  </r>
  <r>
    <s v="FL1138"/>
    <s v="Los Angeles"/>
    <x v="0"/>
    <n v="12"/>
    <x v="0"/>
    <n v="100.931581082477"/>
    <n v="-82.455260991073601"/>
    <n v="2500"/>
    <n v="150"/>
    <n v="50"/>
    <x v="23"/>
  </r>
  <r>
    <s v="FL1139"/>
    <s v="Miami"/>
    <x v="0"/>
    <n v="9"/>
    <x v="0"/>
    <n v="-8.5191360116044503"/>
    <n v="-14.5470823376182"/>
    <n v="2729"/>
    <n v="397"/>
    <n v="126"/>
    <x v="1"/>
  </r>
  <r>
    <s v="FL1140"/>
    <s v="New York"/>
    <x v="1"/>
    <n v="9"/>
    <x v="0"/>
    <n v="-0.88565322740322505"/>
    <n v="-59.723341962026701"/>
    <n v="2800"/>
    <n v="356"/>
    <n v="120"/>
    <x v="15"/>
  </r>
  <r>
    <s v="FL1141"/>
    <s v="Miami"/>
    <x v="1"/>
    <n v="10"/>
    <x v="0"/>
    <n v="-106.315160739378"/>
    <n v="68.2794388221253"/>
    <n v="2931"/>
    <n v="356"/>
    <n v="105"/>
    <x v="3"/>
  </r>
  <r>
    <s v="FL1142"/>
    <s v="Houston"/>
    <x v="3"/>
    <n v="7"/>
    <x v="0"/>
    <n v="32.806909173065897"/>
    <n v="10.2672923895063"/>
    <n v="2500"/>
    <n v="374"/>
    <n v="150"/>
    <x v="8"/>
  </r>
  <r>
    <s v="FL1143"/>
    <s v="Houston"/>
    <x v="2"/>
    <n v="15"/>
    <x v="0"/>
    <n v="-112.991076808795"/>
    <n v="-48.351485452167402"/>
    <n v="3000"/>
    <n v="300"/>
    <n v="200"/>
    <x v="19"/>
  </r>
  <r>
    <s v="FL1144"/>
    <s v="Houston"/>
    <x v="1"/>
    <n v="9"/>
    <x v="0"/>
    <n v="-60.636708335810198"/>
    <n v="0.43691168994774898"/>
    <n v="2500"/>
    <n v="356"/>
    <n v="127"/>
    <x v="12"/>
  </r>
  <r>
    <s v="FL1145"/>
    <s v="Houston"/>
    <x v="0"/>
    <n v="10"/>
    <x v="0"/>
    <n v="127.810872583177"/>
    <n v="41.6675447465609"/>
    <n v="2550"/>
    <n v="397"/>
    <n v="120"/>
    <x v="0"/>
  </r>
  <r>
    <s v="FL1146"/>
    <s v="Houston"/>
    <x v="4"/>
    <n v="7"/>
    <x v="1"/>
    <n v="-105.452708684092"/>
    <n v="82.461241605498103"/>
    <n v="2500"/>
    <n v="150"/>
    <n v="100"/>
    <x v="11"/>
  </r>
  <r>
    <s v="FL1147"/>
    <s v="Chicago"/>
    <x v="0"/>
    <n v="8"/>
    <x v="1"/>
    <n v="-154.38301733756401"/>
    <n v="-50.3197192358246"/>
    <n v="2000"/>
    <n v="450"/>
    <n v="150"/>
    <x v="2"/>
  </r>
  <r>
    <s v="FL1148"/>
    <s v="Los Angeles"/>
    <x v="2"/>
    <n v="8"/>
    <x v="0"/>
    <n v="-155.15726665938601"/>
    <n v="69.512718983282099"/>
    <n v="2882"/>
    <n v="354"/>
    <n v="125"/>
    <x v="18"/>
  </r>
  <r>
    <s v="FL1149"/>
    <s v="Houston"/>
    <x v="0"/>
    <n v="10"/>
    <x v="1"/>
    <n v="158.682427381119"/>
    <n v="78.174740550148201"/>
    <n v="2000"/>
    <n v="600"/>
    <n v="150"/>
    <x v="0"/>
  </r>
  <r>
    <s v="FL1150"/>
    <s v="New York"/>
    <x v="3"/>
    <n v="9"/>
    <x v="0"/>
    <n v="2.49135766626046"/>
    <n v="74.955698015771901"/>
    <n v="3000"/>
    <n v="374"/>
    <n v="200"/>
    <x v="16"/>
  </r>
  <r>
    <s v="FL1151"/>
    <s v="New York"/>
    <x v="2"/>
    <n v="12"/>
    <x v="1"/>
    <n v="-32.611654145873402"/>
    <n v="24.3745842351438"/>
    <n v="2500"/>
    <n v="354"/>
    <n v="150"/>
    <x v="13"/>
  </r>
  <r>
    <s v="FL1152"/>
    <s v="New York"/>
    <x v="4"/>
    <n v="11"/>
    <x v="0"/>
    <n v="111.916289162851"/>
    <n v="23.367717798247401"/>
    <n v="2500"/>
    <n v="300"/>
    <n v="134"/>
    <x v="20"/>
  </r>
  <r>
    <s v="FL1153"/>
    <s v="New York"/>
    <x v="3"/>
    <n v="5"/>
    <x v="0"/>
    <n v="120.897334047786"/>
    <n v="-17.422086026911899"/>
    <n v="3000"/>
    <n v="300"/>
    <n v="100"/>
    <x v="16"/>
  </r>
  <r>
    <s v="FL1154"/>
    <s v="Chicago"/>
    <x v="2"/>
    <n v="15"/>
    <x v="1"/>
    <n v="-60.411228078382301"/>
    <n v="45.431618814681798"/>
    <n v="2000"/>
    <n v="600"/>
    <n v="100"/>
    <x v="5"/>
  </r>
  <r>
    <s v="FL1155"/>
    <s v="New York"/>
    <x v="4"/>
    <n v="11"/>
    <x v="0"/>
    <n v="69.702500690566296"/>
    <n v="5.6329233031677397"/>
    <n v="2588"/>
    <n v="402"/>
    <n v="134"/>
    <x v="20"/>
  </r>
  <r>
    <s v="FL1156"/>
    <s v="Houston"/>
    <x v="3"/>
    <n v="7"/>
    <x v="1"/>
    <n v="97.604213706679204"/>
    <n v="31.938852821093001"/>
    <n v="2846"/>
    <n v="450"/>
    <n v="50"/>
    <x v="8"/>
  </r>
  <r>
    <s v="FL1157"/>
    <s v="Miami"/>
    <x v="3"/>
    <n v="9"/>
    <x v="1"/>
    <n v="55.674247271743603"/>
    <n v="-12.8775773072168"/>
    <n v="3500"/>
    <n v="300"/>
    <n v="150"/>
    <x v="14"/>
  </r>
  <r>
    <s v="FL1158"/>
    <s v="New York"/>
    <x v="2"/>
    <n v="9"/>
    <x v="0"/>
    <n v="-125.425773071964"/>
    <n v="41.669363527765"/>
    <n v="2847"/>
    <n v="354"/>
    <n v="122"/>
    <x v="13"/>
  </r>
  <r>
    <s v="FL1159"/>
    <s v="Chicago"/>
    <x v="1"/>
    <n v="9"/>
    <x v="1"/>
    <n v="135.317910066141"/>
    <n v="58.404873168818803"/>
    <n v="2500"/>
    <n v="150"/>
    <n v="100"/>
    <x v="17"/>
  </r>
  <r>
    <s v="FL1160"/>
    <s v="Chicago"/>
    <x v="3"/>
    <n v="7"/>
    <x v="2"/>
    <n v="14.074038984963099"/>
    <n v="-63.6414738114931"/>
    <n v="2500"/>
    <n v="150"/>
    <n v="100"/>
    <x v="6"/>
  </r>
  <r>
    <s v="FL1161"/>
    <s v="New York"/>
    <x v="3"/>
    <n v="9"/>
    <x v="0"/>
    <n v="-78.309926506798703"/>
    <n v="59.927348803360999"/>
    <n v="3500"/>
    <n v="374"/>
    <n v="100"/>
    <x v="16"/>
  </r>
  <r>
    <s v="FL1162"/>
    <s v="Miami"/>
    <x v="4"/>
    <n v="12"/>
    <x v="0"/>
    <n v="-26.917853242430201"/>
    <n v="7.2533757222553001"/>
    <n v="2700"/>
    <n v="450"/>
    <n v="50"/>
    <x v="21"/>
  </r>
  <r>
    <s v="FL1163"/>
    <s v="New York"/>
    <x v="0"/>
    <n v="7"/>
    <x v="0"/>
    <n v="-166.47440745639301"/>
    <n v="62.039863636240398"/>
    <n v="3500"/>
    <n v="150"/>
    <n v="50"/>
    <x v="24"/>
  </r>
  <r>
    <s v="FL1164"/>
    <s v="Chicago"/>
    <x v="2"/>
    <n v="10"/>
    <x v="0"/>
    <n v="-133.96795155992999"/>
    <n v="-12.3656928586174"/>
    <n v="2928"/>
    <n v="354"/>
    <n v="121"/>
    <x v="5"/>
  </r>
  <r>
    <s v="FL1165"/>
    <s v="Los Angeles"/>
    <x v="2"/>
    <n v="8"/>
    <x v="0"/>
    <n v="95.596830185709905"/>
    <n v="-21.7727126310537"/>
    <n v="2882"/>
    <n v="354"/>
    <n v="125"/>
    <x v="18"/>
  </r>
  <r>
    <s v="FL1166"/>
    <s v="Houston"/>
    <x v="1"/>
    <n v="7"/>
    <x v="0"/>
    <n v="-179.995811488068"/>
    <n v="74.710931853100007"/>
    <n v="2500"/>
    <n v="600"/>
    <n v="150"/>
    <x v="12"/>
  </r>
  <r>
    <s v="FL1167"/>
    <s v="Chicago"/>
    <x v="1"/>
    <n v="5"/>
    <x v="0"/>
    <n v="-30.0363017463748"/>
    <n v="-44.789531841287797"/>
    <n v="3000"/>
    <n v="150"/>
    <n v="200"/>
    <x v="17"/>
  </r>
  <r>
    <s v="FL1168"/>
    <s v="New York"/>
    <x v="2"/>
    <n v="9"/>
    <x v="0"/>
    <n v="8.1036651908118493"/>
    <n v="61.958218551505801"/>
    <n v="2847"/>
    <n v="354"/>
    <n v="122"/>
    <x v="13"/>
  </r>
  <r>
    <s v="FL1169"/>
    <s v="Houston"/>
    <x v="1"/>
    <n v="9"/>
    <x v="0"/>
    <n v="-160.33160879965001"/>
    <n v="-2.8762969483072598"/>
    <n v="2500"/>
    <n v="356"/>
    <n v="127"/>
    <x v="12"/>
  </r>
  <r>
    <s v="FL1170"/>
    <s v="New York"/>
    <x v="4"/>
    <n v="5"/>
    <x v="0"/>
    <n v="170.30813867003999"/>
    <n v="2.5371796592267502"/>
    <n v="3500"/>
    <n v="402"/>
    <n v="200"/>
    <x v="20"/>
  </r>
  <r>
    <s v="FL1171"/>
    <s v="New York"/>
    <x v="2"/>
    <n v="12"/>
    <x v="0"/>
    <n v="-98.594880750118094"/>
    <n v="-34.475709331892901"/>
    <n v="2000"/>
    <n v="300"/>
    <n v="200"/>
    <x v="13"/>
  </r>
  <r>
    <s v="FL1172"/>
    <s v="Los Angeles"/>
    <x v="1"/>
    <n v="8"/>
    <x v="0"/>
    <n v="-70.488460930938899"/>
    <n v="13.1475961114228"/>
    <n v="3000"/>
    <n v="356"/>
    <n v="145"/>
    <x v="4"/>
  </r>
  <r>
    <s v="FL1173"/>
    <s v="Houston"/>
    <x v="2"/>
    <n v="9"/>
    <x v="0"/>
    <n v="-70.580695588190196"/>
    <n v="-31.461984670282"/>
    <n v="2647"/>
    <n v="354"/>
    <n v="113"/>
    <x v="19"/>
  </r>
  <r>
    <s v="FL1174"/>
    <s v="Houston"/>
    <x v="0"/>
    <n v="10"/>
    <x v="0"/>
    <n v="-97.050001637753994"/>
    <n v="-82.931505436502604"/>
    <n v="2550"/>
    <n v="397"/>
    <n v="120"/>
    <x v="0"/>
  </r>
  <r>
    <s v="FL1175"/>
    <s v="Los Angeles"/>
    <x v="3"/>
    <n v="8"/>
    <x v="0"/>
    <n v="-179.469424048928"/>
    <n v="-41.040251038015903"/>
    <n v="3000"/>
    <n v="300"/>
    <n v="150"/>
    <x v="10"/>
  </r>
  <r>
    <s v="FL1176"/>
    <s v="Chicago"/>
    <x v="2"/>
    <n v="10"/>
    <x v="0"/>
    <n v="82.564125871678698"/>
    <n v="-88.851772186813704"/>
    <n v="2500"/>
    <n v="300"/>
    <n v="200"/>
    <x v="5"/>
  </r>
  <r>
    <s v="FL1177"/>
    <s v="New York"/>
    <x v="3"/>
    <n v="15"/>
    <x v="2"/>
    <n v="168.064379927743"/>
    <n v="86.103861670234195"/>
    <n v="2500"/>
    <n v="300"/>
    <n v="100"/>
    <x v="16"/>
  </r>
  <r>
    <s v="FL1178"/>
    <s v="Miami"/>
    <x v="1"/>
    <n v="12"/>
    <x v="1"/>
    <n v="-99.254346017383796"/>
    <n v="83.834497767554595"/>
    <n v="2500"/>
    <n v="600"/>
    <n v="105"/>
    <x v="3"/>
  </r>
  <r>
    <s v="FL1179"/>
    <s v="New York"/>
    <x v="3"/>
    <n v="9"/>
    <x v="0"/>
    <n v="58.696989049232101"/>
    <n v="-18.872046454985099"/>
    <n v="3500"/>
    <n v="374"/>
    <n v="200"/>
    <x v="16"/>
  </r>
  <r>
    <s v="FL1180"/>
    <s v="New York"/>
    <x v="2"/>
    <n v="9"/>
    <x v="2"/>
    <n v="87.082677705137399"/>
    <n v="41.106753781136298"/>
    <n v="2500"/>
    <n v="600"/>
    <n v="150"/>
    <x v="13"/>
  </r>
  <r>
    <s v="FL1181"/>
    <s v="Chicago"/>
    <x v="0"/>
    <n v="8"/>
    <x v="0"/>
    <n v="125.433136472589"/>
    <n v="-27.7549022861235"/>
    <n v="2583"/>
    <n v="397"/>
    <n v="133"/>
    <x v="2"/>
  </r>
  <r>
    <s v="FL1182"/>
    <s v="New York"/>
    <x v="1"/>
    <n v="9"/>
    <x v="0"/>
    <n v="-27.8534890751007"/>
    <n v="30.796768275475699"/>
    <n v="2000"/>
    <n v="150"/>
    <n v="150"/>
    <x v="15"/>
  </r>
  <r>
    <s v="FL1183"/>
    <s v="Los Angeles"/>
    <x v="2"/>
    <n v="5"/>
    <x v="0"/>
    <n v="-70.944873969445496"/>
    <n v="54.9774077482762"/>
    <n v="3500"/>
    <n v="150"/>
    <n v="50"/>
    <x v="18"/>
  </r>
  <r>
    <s v="FL1184"/>
    <s v="Los Angeles"/>
    <x v="1"/>
    <n v="8"/>
    <x v="0"/>
    <n v="-62.893751751708798"/>
    <n v="80.416124044603293"/>
    <n v="3000"/>
    <n v="356"/>
    <n v="145"/>
    <x v="4"/>
  </r>
  <r>
    <s v="FL1185"/>
    <s v="Houston"/>
    <x v="4"/>
    <n v="8"/>
    <x v="0"/>
    <n v="76.543679915464594"/>
    <n v="-17.961790347059001"/>
    <n v="2500"/>
    <n v="402"/>
    <n v="111"/>
    <x v="11"/>
  </r>
  <r>
    <s v="FL1186"/>
    <s v="Miami"/>
    <x v="3"/>
    <n v="7"/>
    <x v="1"/>
    <n v="114.040607942029"/>
    <n v="50.993636932088599"/>
    <n v="3000"/>
    <n v="150"/>
    <n v="150"/>
    <x v="14"/>
  </r>
  <r>
    <s v="FL1187"/>
    <s v="New York"/>
    <x v="4"/>
    <n v="15"/>
    <x v="2"/>
    <n v="-114.618971607623"/>
    <n v="-42.132878886218599"/>
    <n v="2500"/>
    <n v="402"/>
    <n v="150"/>
    <x v="20"/>
  </r>
  <r>
    <s v="FL1188"/>
    <s v="New York"/>
    <x v="2"/>
    <n v="7"/>
    <x v="0"/>
    <n v="-46.4612370632045"/>
    <n v="88.2598146828567"/>
    <n v="2000"/>
    <n v="600"/>
    <n v="50"/>
    <x v="13"/>
  </r>
  <r>
    <s v="FL1189"/>
    <s v="Chicago"/>
    <x v="0"/>
    <n v="12"/>
    <x v="1"/>
    <n v="144.698470829694"/>
    <n v="-85.361472222416793"/>
    <n v="2583"/>
    <n v="397"/>
    <n v="100"/>
    <x v="2"/>
  </r>
  <r>
    <s v="FL1190"/>
    <s v="Los Angeles"/>
    <x v="1"/>
    <n v="5"/>
    <x v="1"/>
    <n v="110.409667090106"/>
    <n v="18.635185170201801"/>
    <n v="3000"/>
    <n v="150"/>
    <n v="200"/>
    <x v="4"/>
  </r>
  <r>
    <s v="FL1191"/>
    <s v="Miami"/>
    <x v="3"/>
    <n v="12"/>
    <x v="0"/>
    <n v="174.54902499449099"/>
    <n v="28.711076697238902"/>
    <n v="2615"/>
    <n v="450"/>
    <n v="121"/>
    <x v="14"/>
  </r>
  <r>
    <s v="FL1192"/>
    <s v="Houston"/>
    <x v="1"/>
    <n v="9"/>
    <x v="0"/>
    <n v="91.529373485549101"/>
    <n v="33.848200273343203"/>
    <n v="2500"/>
    <n v="356"/>
    <n v="127"/>
    <x v="12"/>
  </r>
  <r>
    <s v="FL1193"/>
    <s v="Los Angeles"/>
    <x v="2"/>
    <n v="8"/>
    <x v="0"/>
    <n v="-38.449727629948001"/>
    <n v="-68.330235817963995"/>
    <n v="2882"/>
    <n v="354"/>
    <n v="125"/>
    <x v="18"/>
  </r>
  <r>
    <s v="FL1194"/>
    <s v="Houston"/>
    <x v="1"/>
    <n v="12"/>
    <x v="2"/>
    <n v="32.629620238069599"/>
    <n v="78.935361025163502"/>
    <n v="2000"/>
    <n v="356"/>
    <n v="127"/>
    <x v="12"/>
  </r>
  <r>
    <s v="FL1195"/>
    <s v="Chicago"/>
    <x v="3"/>
    <n v="12"/>
    <x v="2"/>
    <n v="57.965131529035297"/>
    <n v="-57.387009770985102"/>
    <n v="2000"/>
    <n v="300"/>
    <n v="150"/>
    <x v="6"/>
  </r>
  <r>
    <s v="FL1196"/>
    <s v="Chicago"/>
    <x v="2"/>
    <n v="10"/>
    <x v="0"/>
    <n v="-151.755906125835"/>
    <n v="22.095612583171398"/>
    <n v="2928"/>
    <n v="354"/>
    <n v="121"/>
    <x v="5"/>
  </r>
  <r>
    <s v="FL1197"/>
    <s v="New York"/>
    <x v="1"/>
    <n v="9"/>
    <x v="0"/>
    <n v="16.018905277391401"/>
    <n v="-49.918305757844699"/>
    <n v="2000"/>
    <n v="150"/>
    <n v="100"/>
    <x v="15"/>
  </r>
  <r>
    <s v="FL1198"/>
    <s v="Miami"/>
    <x v="0"/>
    <n v="9"/>
    <x v="0"/>
    <n v="75.355498250139405"/>
    <n v="-34.701044936171201"/>
    <n v="2729"/>
    <n v="397"/>
    <n v="126"/>
    <x v="1"/>
  </r>
  <r>
    <s v="FL1199"/>
    <s v="Houston"/>
    <x v="2"/>
    <n v="9"/>
    <x v="0"/>
    <n v="-119.764330559618"/>
    <n v="8.3625375110623903"/>
    <n v="2647"/>
    <n v="354"/>
    <n v="113"/>
    <x v="19"/>
  </r>
  <r>
    <s v="FL1200"/>
    <s v="Los Angeles"/>
    <x v="2"/>
    <n v="15"/>
    <x v="1"/>
    <n v="101.02741827320099"/>
    <n v="-14.9051846583762"/>
    <n v="3500"/>
    <n v="600"/>
    <n v="150"/>
    <x v="18"/>
  </r>
  <r>
    <s v="FL1201"/>
    <s v="Chicago"/>
    <x v="0"/>
    <n v="12"/>
    <x v="0"/>
    <n v="30.1582009850802"/>
    <n v="-61.159391824228898"/>
    <n v="2000"/>
    <n v="600"/>
    <n v="100"/>
    <x v="2"/>
  </r>
  <r>
    <s v="FL1202"/>
    <s v="New York"/>
    <x v="4"/>
    <n v="11"/>
    <x v="2"/>
    <n v="162.799842851134"/>
    <n v="-59.231447564247297"/>
    <n v="3500"/>
    <n v="450"/>
    <n v="200"/>
    <x v="20"/>
  </r>
  <r>
    <s v="FL1203"/>
    <s v="New York"/>
    <x v="3"/>
    <n v="15"/>
    <x v="0"/>
    <n v="-164.727972645519"/>
    <n v="-14.733938130696099"/>
    <n v="2000"/>
    <n v="150"/>
    <n v="150"/>
    <x v="16"/>
  </r>
  <r>
    <s v="FL1204"/>
    <s v="Houston"/>
    <x v="4"/>
    <n v="8"/>
    <x v="0"/>
    <n v="-84.482590480031902"/>
    <n v="46.310936089590101"/>
    <n v="2500"/>
    <n v="402"/>
    <n v="111"/>
    <x v="11"/>
  </r>
  <r>
    <s v="FL1205"/>
    <s v="Chicago"/>
    <x v="1"/>
    <n v="9"/>
    <x v="1"/>
    <n v="36.5593965479367"/>
    <n v="71.633636432601904"/>
    <n v="2678"/>
    <n v="150"/>
    <n v="50"/>
    <x v="17"/>
  </r>
  <r>
    <s v="FL1206"/>
    <s v="Miami"/>
    <x v="0"/>
    <n v="7"/>
    <x v="0"/>
    <n v="-73.238431605864903"/>
    <n v="-74.857020793311094"/>
    <n v="2500"/>
    <n v="300"/>
    <n v="200"/>
    <x v="1"/>
  </r>
  <r>
    <s v="FL1207"/>
    <s v="Chicago"/>
    <x v="4"/>
    <n v="12"/>
    <x v="0"/>
    <n v="77.192699065647204"/>
    <n v="-19.241296639307802"/>
    <n v="2500"/>
    <n v="450"/>
    <n v="114"/>
    <x v="9"/>
  </r>
  <r>
    <s v="FL1208"/>
    <s v="Houston"/>
    <x v="2"/>
    <n v="9"/>
    <x v="0"/>
    <n v="93.241901707895195"/>
    <n v="-71.955798529882202"/>
    <n v="2647"/>
    <n v="354"/>
    <n v="113"/>
    <x v="19"/>
  </r>
  <r>
    <s v="FL1209"/>
    <s v="Houston"/>
    <x v="1"/>
    <n v="9"/>
    <x v="0"/>
    <n v="-143.09425293606901"/>
    <n v="-87.013353486132402"/>
    <n v="2500"/>
    <n v="356"/>
    <n v="127"/>
    <x v="12"/>
  </r>
  <r>
    <s v="FL1210"/>
    <s v="Chicago"/>
    <x v="1"/>
    <n v="9"/>
    <x v="0"/>
    <n v="4.9876071144363703"/>
    <n v="29.109362875912201"/>
    <n v="2678"/>
    <n v="356"/>
    <n v="137"/>
    <x v="17"/>
  </r>
  <r>
    <s v="FL1211"/>
    <s v="Houston"/>
    <x v="4"/>
    <n v="8"/>
    <x v="0"/>
    <n v="3.20060001278011"/>
    <n v="18.440899553985801"/>
    <n v="2500"/>
    <n v="402"/>
    <n v="111"/>
    <x v="11"/>
  </r>
  <r>
    <s v="FL1212"/>
    <s v="Chicago"/>
    <x v="4"/>
    <n v="10"/>
    <x v="0"/>
    <n v="-47.0589227224052"/>
    <n v="-60.656559513320502"/>
    <n v="2636"/>
    <n v="402"/>
    <n v="114"/>
    <x v="9"/>
  </r>
  <r>
    <s v="FL1213"/>
    <s v="Los Angeles"/>
    <x v="0"/>
    <n v="10"/>
    <x v="0"/>
    <n v="155.85295052508201"/>
    <n v="-47.913690043248501"/>
    <n v="2586"/>
    <n v="397"/>
    <n v="119"/>
    <x v="23"/>
  </r>
  <r>
    <s v="FL1214"/>
    <s v="Chicago"/>
    <x v="3"/>
    <n v="5"/>
    <x v="1"/>
    <n v="117.90227515436"/>
    <n v="-85.732604343986694"/>
    <n v="2678"/>
    <n v="450"/>
    <n v="200"/>
    <x v="6"/>
  </r>
  <r>
    <s v="FL1215"/>
    <s v="Chicago"/>
    <x v="4"/>
    <n v="10"/>
    <x v="0"/>
    <n v="70.995377487469199"/>
    <n v="60.290497024992703"/>
    <n v="2636"/>
    <n v="402"/>
    <n v="114"/>
    <x v="9"/>
  </r>
  <r>
    <s v="FL1216"/>
    <s v="Houston"/>
    <x v="4"/>
    <n v="8"/>
    <x v="1"/>
    <n v="77.157588864599106"/>
    <n v="85.444307288739296"/>
    <n v="2500"/>
    <n v="300"/>
    <n v="100"/>
    <x v="11"/>
  </r>
  <r>
    <s v="FL1217"/>
    <s v="Houston"/>
    <x v="2"/>
    <n v="9"/>
    <x v="2"/>
    <n v="-13.7821882272771"/>
    <n v="-65.617283376955697"/>
    <n v="2500"/>
    <n v="450"/>
    <n v="50"/>
    <x v="19"/>
  </r>
  <r>
    <s v="FL1218"/>
    <s v="New York"/>
    <x v="1"/>
    <n v="9"/>
    <x v="0"/>
    <n v="151.558027594767"/>
    <n v="-48.334461522246301"/>
    <n v="2800"/>
    <n v="356"/>
    <n v="120"/>
    <x v="15"/>
  </r>
  <r>
    <s v="FL1219"/>
    <s v="New York"/>
    <x v="3"/>
    <n v="15"/>
    <x v="0"/>
    <n v="70.054353811182807"/>
    <n v="66.313714310448105"/>
    <n v="2760"/>
    <n v="300"/>
    <n v="50"/>
    <x v="16"/>
  </r>
  <r>
    <s v="FL1220"/>
    <s v="Los Angeles"/>
    <x v="2"/>
    <n v="8"/>
    <x v="0"/>
    <n v="82.433182196093895"/>
    <n v="76.763483632113306"/>
    <n v="2882"/>
    <n v="354"/>
    <n v="125"/>
    <x v="18"/>
  </r>
  <r>
    <s v="FL1221"/>
    <s v="New York"/>
    <x v="0"/>
    <n v="9"/>
    <x v="0"/>
    <n v="130.20872536344399"/>
    <n v="-14.4670710947741"/>
    <n v="2954"/>
    <n v="397"/>
    <n v="128"/>
    <x v="24"/>
  </r>
  <r>
    <s v="FL1222"/>
    <s v="Chicago"/>
    <x v="0"/>
    <n v="5"/>
    <x v="2"/>
    <n v="-81.334227836811195"/>
    <n v="-80.887954991566701"/>
    <n v="2000"/>
    <n v="300"/>
    <n v="50"/>
    <x v="2"/>
  </r>
  <r>
    <s v="FL1223"/>
    <s v="Houston"/>
    <x v="4"/>
    <n v="9"/>
    <x v="1"/>
    <n v="110.545525392013"/>
    <n v="-82.909469935292506"/>
    <n v="2000"/>
    <n v="450"/>
    <n v="200"/>
    <x v="11"/>
  </r>
  <r>
    <s v="FL1224"/>
    <s v="New York"/>
    <x v="4"/>
    <n v="15"/>
    <x v="1"/>
    <n v="-109.71338293566301"/>
    <n v="13.310975892421901"/>
    <n v="2000"/>
    <n v="450"/>
    <n v="150"/>
    <x v="20"/>
  </r>
  <r>
    <s v="FL1225"/>
    <s v="New York"/>
    <x v="0"/>
    <n v="5"/>
    <x v="0"/>
    <n v="-55.676897191840403"/>
    <n v="-19.278880399227798"/>
    <n v="2954"/>
    <n v="600"/>
    <n v="200"/>
    <x v="24"/>
  </r>
  <r>
    <s v="FL1226"/>
    <s v="Los Angeles"/>
    <x v="4"/>
    <n v="12"/>
    <x v="2"/>
    <n v="-59.180236462856598"/>
    <n v="-84.842563036022199"/>
    <n v="3500"/>
    <n v="150"/>
    <n v="200"/>
    <x v="22"/>
  </r>
  <r>
    <s v="FL1227"/>
    <s v="Los Angeles"/>
    <x v="3"/>
    <n v="8"/>
    <x v="0"/>
    <n v="172.26916862009099"/>
    <n v="14.985430616260199"/>
    <n v="2760"/>
    <n v="374"/>
    <n v="131"/>
    <x v="10"/>
  </r>
  <r>
    <s v="FL1228"/>
    <s v="Chicago"/>
    <x v="4"/>
    <n v="10"/>
    <x v="0"/>
    <n v="128.35340054925399"/>
    <n v="-87.965543413975993"/>
    <n v="2636"/>
    <n v="402"/>
    <n v="114"/>
    <x v="9"/>
  </r>
  <r>
    <s v="FL1229"/>
    <s v="Houston"/>
    <x v="1"/>
    <n v="9"/>
    <x v="1"/>
    <n v="72.421150172493498"/>
    <n v="51.726952466869101"/>
    <n v="3500"/>
    <n v="356"/>
    <n v="127"/>
    <x v="12"/>
  </r>
  <r>
    <s v="FL1230"/>
    <s v="Los Angeles"/>
    <x v="4"/>
    <n v="12"/>
    <x v="2"/>
    <n v="81.740434181540394"/>
    <n v="-34.842091913393098"/>
    <n v="3000"/>
    <n v="300"/>
    <n v="150"/>
    <x v="22"/>
  </r>
  <r>
    <s v="FL1231"/>
    <s v="New York"/>
    <x v="2"/>
    <n v="9"/>
    <x v="0"/>
    <n v="22.3462059849256"/>
    <n v="-82.753559458338202"/>
    <n v="2847"/>
    <n v="354"/>
    <n v="122"/>
    <x v="13"/>
  </r>
  <r>
    <s v="FL1232"/>
    <s v="Houston"/>
    <x v="3"/>
    <n v="12"/>
    <x v="0"/>
    <n v="160.95264015906699"/>
    <n v="15.9033997769676"/>
    <n v="2000"/>
    <n v="600"/>
    <n v="138"/>
    <x v="8"/>
  </r>
  <r>
    <s v="FL1233"/>
    <s v="Houston"/>
    <x v="2"/>
    <n v="12"/>
    <x v="1"/>
    <n v="-1.3468489623498401"/>
    <n v="-18.416805402050201"/>
    <n v="2647"/>
    <n v="600"/>
    <n v="50"/>
    <x v="19"/>
  </r>
  <r>
    <s v="FL1234"/>
    <s v="New York"/>
    <x v="2"/>
    <n v="9"/>
    <x v="0"/>
    <n v="-43.013624446838001"/>
    <n v="85.284074404286898"/>
    <n v="2847"/>
    <n v="354"/>
    <n v="122"/>
    <x v="13"/>
  </r>
  <r>
    <s v="FL1235"/>
    <s v="Los Angeles"/>
    <x v="1"/>
    <n v="8"/>
    <x v="0"/>
    <n v="-121.307278704627"/>
    <n v="7.9557592506663903"/>
    <n v="3000"/>
    <n v="356"/>
    <n v="145"/>
    <x v="4"/>
  </r>
  <r>
    <s v="FL1236"/>
    <s v="New York"/>
    <x v="3"/>
    <n v="12"/>
    <x v="0"/>
    <n v="103.03403481398099"/>
    <n v="-40.456947413338497"/>
    <n v="2760"/>
    <n v="600"/>
    <n v="150"/>
    <x v="16"/>
  </r>
  <r>
    <s v="FL1237"/>
    <s v="Houston"/>
    <x v="3"/>
    <n v="8"/>
    <x v="0"/>
    <n v="84.399815547212896"/>
    <n v="37.698995634115498"/>
    <n v="2846"/>
    <n v="374"/>
    <n v="138"/>
    <x v="8"/>
  </r>
  <r>
    <s v="FL1238"/>
    <s v="Miami"/>
    <x v="3"/>
    <n v="8"/>
    <x v="0"/>
    <n v="-41.6321861313114"/>
    <n v="-41.131439542312002"/>
    <n v="2615"/>
    <n v="374"/>
    <n v="121"/>
    <x v="14"/>
  </r>
  <r>
    <s v="FL1239"/>
    <s v="Miami"/>
    <x v="3"/>
    <n v="8"/>
    <x v="0"/>
    <n v="-170.930370974677"/>
    <n v="72.763792453361702"/>
    <n v="2615"/>
    <n v="374"/>
    <n v="121"/>
    <x v="14"/>
  </r>
  <r>
    <s v="FL1240"/>
    <s v="Chicago"/>
    <x v="3"/>
    <n v="12"/>
    <x v="2"/>
    <n v="122.039037978484"/>
    <n v="-22.5500453086722"/>
    <n v="2500"/>
    <n v="600"/>
    <n v="50"/>
    <x v="6"/>
  </r>
  <r>
    <s v="FL1241"/>
    <s v="New York"/>
    <x v="1"/>
    <n v="12"/>
    <x v="0"/>
    <n v="-175.88952595653399"/>
    <n v="8.9763412997169407"/>
    <n v="2000"/>
    <n v="450"/>
    <n v="150"/>
    <x v="15"/>
  </r>
  <r>
    <s v="FL1242"/>
    <s v="New York"/>
    <x v="4"/>
    <n v="11"/>
    <x v="2"/>
    <n v="73.331920666458302"/>
    <n v="-80.896841311638795"/>
    <n v="2500"/>
    <n v="600"/>
    <n v="100"/>
    <x v="20"/>
  </r>
  <r>
    <s v="FL1243"/>
    <s v="Chicago"/>
    <x v="2"/>
    <n v="7"/>
    <x v="1"/>
    <n v="169.29255950138099"/>
    <n v="-13.2981771685985"/>
    <n v="2500"/>
    <n v="150"/>
    <n v="200"/>
    <x v="5"/>
  </r>
  <r>
    <s v="FL1244"/>
    <s v="Chicago"/>
    <x v="3"/>
    <n v="9"/>
    <x v="0"/>
    <n v="-22.441921866646801"/>
    <n v="59.825437138979098"/>
    <n v="2678"/>
    <n v="374"/>
    <n v="116"/>
    <x v="6"/>
  </r>
  <r>
    <s v="FL1245"/>
    <s v="Chicago"/>
    <x v="4"/>
    <n v="12"/>
    <x v="2"/>
    <n v="-95.409574201457005"/>
    <n v="55.016784965401499"/>
    <n v="2000"/>
    <n v="300"/>
    <n v="114"/>
    <x v="9"/>
  </r>
  <r>
    <s v="FL1246"/>
    <s v="Houston"/>
    <x v="4"/>
    <n v="8"/>
    <x v="0"/>
    <n v="73.753563615617395"/>
    <n v="-49.622659406365301"/>
    <n v="2500"/>
    <n v="450"/>
    <n v="100"/>
    <x v="11"/>
  </r>
  <r>
    <s v="FL1247"/>
    <s v="New York"/>
    <x v="2"/>
    <n v="9"/>
    <x v="0"/>
    <n v="114.166131125611"/>
    <n v="-49.305767218098701"/>
    <n v="2847"/>
    <n v="354"/>
    <n v="122"/>
    <x v="13"/>
  </r>
  <r>
    <s v="FL1248"/>
    <s v="Houston"/>
    <x v="1"/>
    <n v="9"/>
    <x v="0"/>
    <n v="16.714913788025001"/>
    <n v="57.1149561983826"/>
    <n v="3000"/>
    <n v="356"/>
    <n v="127"/>
    <x v="12"/>
  </r>
  <r>
    <s v="FL1249"/>
    <s v="Chicago"/>
    <x v="0"/>
    <n v="8"/>
    <x v="0"/>
    <n v="168.13269909221299"/>
    <n v="77.471715630478599"/>
    <n v="2583"/>
    <n v="397"/>
    <n v="133"/>
    <x v="2"/>
  </r>
  <r>
    <s v="FL1250"/>
    <s v="New York"/>
    <x v="0"/>
    <n v="9"/>
    <x v="0"/>
    <n v="-161.39926020313399"/>
    <n v="-72.835034170859402"/>
    <n v="2954"/>
    <n v="397"/>
    <n v="128"/>
    <x v="24"/>
  </r>
  <r>
    <s v="FL1251"/>
    <s v="Houston"/>
    <x v="4"/>
    <n v="8"/>
    <x v="0"/>
    <n v="1.72641538963012"/>
    <n v="-8.9894449032794501"/>
    <n v="2500"/>
    <n v="402"/>
    <n v="111"/>
    <x v="11"/>
  </r>
  <r>
    <s v="FL1252"/>
    <s v="Houston"/>
    <x v="2"/>
    <n v="9"/>
    <x v="1"/>
    <n v="78.643421036117999"/>
    <n v="-29.2582297864388"/>
    <n v="3000"/>
    <n v="600"/>
    <n v="200"/>
    <x v="19"/>
  </r>
  <r>
    <s v="FL1253"/>
    <s v="Chicago"/>
    <x v="0"/>
    <n v="15"/>
    <x v="1"/>
    <n v="130.55056961370499"/>
    <n v="66.723921982339107"/>
    <n v="2000"/>
    <n v="397"/>
    <n v="200"/>
    <x v="2"/>
  </r>
  <r>
    <s v="FL1254"/>
    <s v="New York"/>
    <x v="4"/>
    <n v="11"/>
    <x v="0"/>
    <n v="-115.467979713196"/>
    <n v="-74.965515357596601"/>
    <n v="2588"/>
    <n v="402"/>
    <n v="134"/>
    <x v="20"/>
  </r>
  <r>
    <s v="FL1255"/>
    <s v="Chicago"/>
    <x v="1"/>
    <n v="9"/>
    <x v="1"/>
    <n v="108.001253434925"/>
    <n v="-51.997330339553301"/>
    <n v="2000"/>
    <n v="600"/>
    <n v="137"/>
    <x v="17"/>
  </r>
  <r>
    <s v="FL1256"/>
    <s v="New York"/>
    <x v="0"/>
    <n v="9"/>
    <x v="0"/>
    <n v="18.974547258676299"/>
    <n v="45.444300765568997"/>
    <n v="2954"/>
    <n v="397"/>
    <n v="128"/>
    <x v="24"/>
  </r>
  <r>
    <s v="FL1257"/>
    <s v="Miami"/>
    <x v="4"/>
    <n v="9"/>
    <x v="1"/>
    <n v="-37.240674483613198"/>
    <n v="-80.767107183381199"/>
    <n v="2000"/>
    <n v="600"/>
    <n v="100"/>
    <x v="21"/>
  </r>
  <r>
    <s v="FL1258"/>
    <s v="Los Angeles"/>
    <x v="4"/>
    <n v="7"/>
    <x v="2"/>
    <n v="-132.582589711526"/>
    <n v="-1.34363147142793"/>
    <n v="3000"/>
    <n v="600"/>
    <n v="50"/>
    <x v="22"/>
  </r>
  <r>
    <s v="FL1259"/>
    <s v="Los Angeles"/>
    <x v="3"/>
    <n v="8"/>
    <x v="0"/>
    <n v="131.50647320720799"/>
    <n v="-10.4207337576504"/>
    <n v="2760"/>
    <n v="374"/>
    <n v="131"/>
    <x v="10"/>
  </r>
  <r>
    <s v="FL1260"/>
    <s v="Los Angeles"/>
    <x v="1"/>
    <n v="8"/>
    <x v="0"/>
    <n v="-123.381645055302"/>
    <n v="-29.807787782025201"/>
    <n v="3000"/>
    <n v="356"/>
    <n v="145"/>
    <x v="4"/>
  </r>
  <r>
    <s v="FL1261"/>
    <s v="Chicago"/>
    <x v="3"/>
    <n v="9"/>
    <x v="0"/>
    <n v="-68.476370684724301"/>
    <n v="-18.9769832425937"/>
    <n v="2678"/>
    <n v="374"/>
    <n v="116"/>
    <x v="6"/>
  </r>
  <r>
    <s v="FL1262"/>
    <s v="Miami"/>
    <x v="2"/>
    <n v="8"/>
    <x v="0"/>
    <n v="-75.583608493522703"/>
    <n v="5.3893056474419296"/>
    <n v="3000"/>
    <n v="300"/>
    <n v="50"/>
    <x v="7"/>
  </r>
  <r>
    <s v="FL1263"/>
    <s v="New York"/>
    <x v="3"/>
    <n v="9"/>
    <x v="1"/>
    <n v="133.70905230870801"/>
    <n v="-60.953875490091001"/>
    <n v="3500"/>
    <n v="150"/>
    <n v="150"/>
    <x v="16"/>
  </r>
  <r>
    <s v="FL1264"/>
    <s v="Houston"/>
    <x v="3"/>
    <n v="15"/>
    <x v="1"/>
    <n v="62.173077915203301"/>
    <n v="12.959258091046699"/>
    <n v="3500"/>
    <n v="300"/>
    <n v="150"/>
    <x v="8"/>
  </r>
  <r>
    <s v="FL1265"/>
    <s v="New York"/>
    <x v="0"/>
    <n v="9"/>
    <x v="0"/>
    <n v="106.805302988894"/>
    <n v="54.977819273997497"/>
    <n v="2954"/>
    <n v="397"/>
    <n v="128"/>
    <x v="24"/>
  </r>
  <r>
    <s v="FL1266"/>
    <s v="Houston"/>
    <x v="4"/>
    <n v="8"/>
    <x v="0"/>
    <n v="-89.831556434700403"/>
    <n v="46.828967362228603"/>
    <n v="2500"/>
    <n v="402"/>
    <n v="111"/>
    <x v="11"/>
  </r>
  <r>
    <s v="FL1267"/>
    <s v="New York"/>
    <x v="1"/>
    <n v="15"/>
    <x v="0"/>
    <n v="44.9546758585196"/>
    <n v="-62.298017155120696"/>
    <n v="2800"/>
    <n v="600"/>
    <n v="100"/>
    <x v="15"/>
  </r>
  <r>
    <s v="FL1268"/>
    <s v="Miami"/>
    <x v="3"/>
    <n v="5"/>
    <x v="0"/>
    <n v="25.8285539317495"/>
    <n v="-63.135095446534699"/>
    <n v="2000"/>
    <n v="600"/>
    <n v="150"/>
    <x v="14"/>
  </r>
  <r>
    <s v="FL1269"/>
    <s v="Houston"/>
    <x v="1"/>
    <n v="15"/>
    <x v="2"/>
    <n v="119.818935643778"/>
    <n v="-41.7286138059156"/>
    <n v="2000"/>
    <n v="356"/>
    <n v="200"/>
    <x v="12"/>
  </r>
  <r>
    <s v="FL1270"/>
    <s v="Chicago"/>
    <x v="3"/>
    <n v="15"/>
    <x v="0"/>
    <n v="146.19134177325401"/>
    <n v="-25.006549258613301"/>
    <n v="2000"/>
    <n v="300"/>
    <n v="100"/>
    <x v="6"/>
  </r>
  <r>
    <s v="FL1271"/>
    <s v="New York"/>
    <x v="2"/>
    <n v="7"/>
    <x v="0"/>
    <n v="-175.623562268141"/>
    <n v="-16.477995346473101"/>
    <n v="2500"/>
    <n v="354"/>
    <n v="50"/>
    <x v="13"/>
  </r>
  <r>
    <s v="FL1272"/>
    <s v="New York"/>
    <x v="3"/>
    <n v="7"/>
    <x v="2"/>
    <n v="62.647170861165399"/>
    <n v="32.345499030002102"/>
    <n v="2500"/>
    <n v="150"/>
    <n v="50"/>
    <x v="16"/>
  </r>
  <r>
    <s v="FL1273"/>
    <s v="Houston"/>
    <x v="0"/>
    <n v="15"/>
    <x v="1"/>
    <n v="-161.339112316898"/>
    <n v="-79.797522210149594"/>
    <n v="2550"/>
    <n v="600"/>
    <n v="120"/>
    <x v="0"/>
  </r>
  <r>
    <s v="FL1274"/>
    <s v="Chicago"/>
    <x v="4"/>
    <n v="10"/>
    <x v="0"/>
    <n v="17.5891194278481"/>
    <n v="-83.758913239308001"/>
    <n v="2636"/>
    <n v="402"/>
    <n v="114"/>
    <x v="9"/>
  </r>
  <r>
    <s v="FL1275"/>
    <s v="Chicago"/>
    <x v="2"/>
    <n v="10"/>
    <x v="0"/>
    <n v="-76.452217544275797"/>
    <n v="-19.456098670096399"/>
    <n v="2928"/>
    <n v="354"/>
    <n v="121"/>
    <x v="5"/>
  </r>
  <r>
    <s v="FL1276"/>
    <s v="Miami"/>
    <x v="3"/>
    <n v="7"/>
    <x v="1"/>
    <n v="-69.560424172029201"/>
    <n v="35.489464584836497"/>
    <n v="2000"/>
    <n v="150"/>
    <n v="50"/>
    <x v="14"/>
  </r>
  <r>
    <s v="FL1277"/>
    <s v="Chicago"/>
    <x v="1"/>
    <n v="9"/>
    <x v="0"/>
    <n v="-52.934938757151599"/>
    <n v="-55.181638267833101"/>
    <n v="2678"/>
    <n v="356"/>
    <n v="137"/>
    <x v="17"/>
  </r>
  <r>
    <s v="FL1278"/>
    <s v="Chicago"/>
    <x v="2"/>
    <n v="15"/>
    <x v="1"/>
    <n v="43.665281657859701"/>
    <n v="25.470806626125299"/>
    <n v="2500"/>
    <n v="300"/>
    <n v="50"/>
    <x v="5"/>
  </r>
  <r>
    <s v="FL1279"/>
    <s v="Chicago"/>
    <x v="2"/>
    <n v="12"/>
    <x v="0"/>
    <n v="-59.742012359243098"/>
    <n v="-43.2309351707461"/>
    <n v="2500"/>
    <n v="600"/>
    <n v="50"/>
    <x v="5"/>
  </r>
  <r>
    <s v="FL1280"/>
    <s v="Los Angeles"/>
    <x v="3"/>
    <n v="8"/>
    <x v="0"/>
    <n v="83.771658212500896"/>
    <n v="69.495499586432899"/>
    <n v="2760"/>
    <n v="374"/>
    <n v="131"/>
    <x v="10"/>
  </r>
  <r>
    <s v="FL1281"/>
    <s v="Miami"/>
    <x v="2"/>
    <n v="8"/>
    <x v="0"/>
    <n v="-34.370141193406901"/>
    <n v="71.224189967990995"/>
    <n v="2718"/>
    <n v="354"/>
    <n v="115"/>
    <x v="7"/>
  </r>
  <r>
    <s v="FL1282"/>
    <s v="New York"/>
    <x v="1"/>
    <n v="5"/>
    <x v="2"/>
    <n v="-155.39284788841499"/>
    <n v="-36.4883032293612"/>
    <n v="2000"/>
    <n v="450"/>
    <n v="100"/>
    <x v="15"/>
  </r>
  <r>
    <s v="FL1283"/>
    <s v="Houston"/>
    <x v="2"/>
    <n v="12"/>
    <x v="2"/>
    <n v="102.153543294279"/>
    <n v="-48.601124286616702"/>
    <n v="2647"/>
    <n v="300"/>
    <n v="200"/>
    <x v="19"/>
  </r>
  <r>
    <s v="FL1284"/>
    <s v="New York"/>
    <x v="1"/>
    <n v="9"/>
    <x v="0"/>
    <n v="-77.127003146625796"/>
    <n v="-15.9652850280784"/>
    <n v="3500"/>
    <n v="300"/>
    <n v="150"/>
    <x v="15"/>
  </r>
  <r>
    <s v="FL1285"/>
    <s v="Miami"/>
    <x v="3"/>
    <n v="15"/>
    <x v="0"/>
    <n v="-24.203923344265501"/>
    <n v="-46.7043146675732"/>
    <n v="3000"/>
    <n v="450"/>
    <n v="50"/>
    <x v="14"/>
  </r>
  <r>
    <s v="FL1286"/>
    <s v="Houston"/>
    <x v="4"/>
    <n v="8"/>
    <x v="0"/>
    <n v="66.759797959884494"/>
    <n v="31.029091792506701"/>
    <n v="2500"/>
    <n v="402"/>
    <n v="111"/>
    <x v="11"/>
  </r>
  <r>
    <s v="FL1287"/>
    <s v="Miami"/>
    <x v="2"/>
    <n v="15"/>
    <x v="0"/>
    <n v="-60.315783426463703"/>
    <n v="58.691643218691397"/>
    <n v="3500"/>
    <n v="300"/>
    <n v="115"/>
    <x v="7"/>
  </r>
  <r>
    <s v="FL1288"/>
    <s v="Chicago"/>
    <x v="4"/>
    <n v="7"/>
    <x v="1"/>
    <n v="-159.62916378718199"/>
    <n v="31.156583564019101"/>
    <n v="2636"/>
    <n v="450"/>
    <n v="114"/>
    <x v="9"/>
  </r>
  <r>
    <s v="FL1289"/>
    <s v="Houston"/>
    <x v="1"/>
    <n v="9"/>
    <x v="0"/>
    <n v="-45.388423075387102"/>
    <n v="58.383080504882898"/>
    <n v="2500"/>
    <n v="356"/>
    <n v="127"/>
    <x v="12"/>
  </r>
  <r>
    <s v="FL1290"/>
    <s v="Chicago"/>
    <x v="2"/>
    <n v="10"/>
    <x v="0"/>
    <n v="160.00148976994899"/>
    <n v="-18.5414108026546"/>
    <n v="2928"/>
    <n v="354"/>
    <n v="121"/>
    <x v="5"/>
  </r>
  <r>
    <s v="FL1291"/>
    <s v="New York"/>
    <x v="0"/>
    <n v="9"/>
    <x v="0"/>
    <n v="51.024383027481001"/>
    <n v="-61.862945272405"/>
    <n v="2954"/>
    <n v="397"/>
    <n v="128"/>
    <x v="24"/>
  </r>
  <r>
    <s v="FL1292"/>
    <s v="New York"/>
    <x v="4"/>
    <n v="11"/>
    <x v="0"/>
    <n v="61.732493520194502"/>
    <n v="42.831170531566599"/>
    <n v="2588"/>
    <n v="402"/>
    <n v="134"/>
    <x v="20"/>
  </r>
  <r>
    <s v="FL1293"/>
    <s v="Houston"/>
    <x v="2"/>
    <n v="12"/>
    <x v="0"/>
    <n v="47.621575309550302"/>
    <n v="-25.1145890745203"/>
    <n v="2000"/>
    <n v="300"/>
    <n v="100"/>
    <x v="19"/>
  </r>
  <r>
    <s v="FL1294"/>
    <s v="Houston"/>
    <x v="4"/>
    <n v="8"/>
    <x v="0"/>
    <n v="-108.362829974603"/>
    <n v="30.8287485412439"/>
    <n v="2500"/>
    <n v="402"/>
    <n v="111"/>
    <x v="11"/>
  </r>
  <r>
    <s v="FL1295"/>
    <s v="Miami"/>
    <x v="2"/>
    <n v="9"/>
    <x v="1"/>
    <n v="-29.399808923179201"/>
    <n v="-41.284090443282203"/>
    <n v="2500"/>
    <n v="600"/>
    <n v="150"/>
    <x v="7"/>
  </r>
  <r>
    <s v="FL1296"/>
    <s v="Miami"/>
    <x v="3"/>
    <n v="8"/>
    <x v="0"/>
    <n v="90.338327410794605"/>
    <n v="-75.378665734798901"/>
    <n v="2615"/>
    <n v="374"/>
    <n v="121"/>
    <x v="14"/>
  </r>
  <r>
    <s v="FL1297"/>
    <s v="Chicago"/>
    <x v="4"/>
    <n v="15"/>
    <x v="1"/>
    <n v="-143.505756880863"/>
    <n v="88.664723187797406"/>
    <n v="2000"/>
    <n v="600"/>
    <n v="114"/>
    <x v="9"/>
  </r>
  <r>
    <s v="FL1298"/>
    <s v="Houston"/>
    <x v="0"/>
    <n v="10"/>
    <x v="0"/>
    <n v="-79.973000607703597"/>
    <n v="-61.883728572492103"/>
    <n v="2550"/>
    <n v="397"/>
    <n v="120"/>
    <x v="0"/>
  </r>
  <r>
    <s v="FL1299"/>
    <s v="New York"/>
    <x v="0"/>
    <n v="9"/>
    <x v="0"/>
    <n v="-80.525120952292696"/>
    <n v="87.915778913426607"/>
    <n v="2954"/>
    <n v="397"/>
    <n v="128"/>
    <x v="24"/>
  </r>
  <r>
    <s v="FL1300"/>
    <s v="Miami"/>
    <x v="1"/>
    <n v="10"/>
    <x v="0"/>
    <n v="-24.473186065977799"/>
    <n v="85.910387861960501"/>
    <n v="2931"/>
    <n v="356"/>
    <n v="105"/>
    <x v="3"/>
  </r>
  <r>
    <s v="FL1301"/>
    <s v="Miami"/>
    <x v="2"/>
    <n v="7"/>
    <x v="1"/>
    <n v="172.932746739187"/>
    <n v="52.887258703447202"/>
    <n v="2500"/>
    <n v="300"/>
    <n v="115"/>
    <x v="7"/>
  </r>
  <r>
    <s v="FL1302"/>
    <s v="New York"/>
    <x v="4"/>
    <n v="11"/>
    <x v="0"/>
    <n v="-155.69908319382401"/>
    <n v="28.696133174759598"/>
    <n v="2588"/>
    <n v="402"/>
    <n v="134"/>
    <x v="20"/>
  </r>
  <r>
    <s v="FL1303"/>
    <s v="Miami"/>
    <x v="1"/>
    <n v="7"/>
    <x v="2"/>
    <n v="6.7323579770141997"/>
    <n v="14.0052690451953"/>
    <n v="3500"/>
    <n v="300"/>
    <n v="105"/>
    <x v="3"/>
  </r>
  <r>
    <s v="FL1304"/>
    <s v="Chicago"/>
    <x v="4"/>
    <n v="15"/>
    <x v="0"/>
    <n v="-115.428714475604"/>
    <n v="65.898278168010293"/>
    <n v="3500"/>
    <n v="450"/>
    <n v="50"/>
    <x v="9"/>
  </r>
  <r>
    <s v="FL1305"/>
    <s v="Houston"/>
    <x v="2"/>
    <n v="9"/>
    <x v="0"/>
    <n v="169.44355634750801"/>
    <n v="-37.900886108492202"/>
    <n v="2647"/>
    <n v="354"/>
    <n v="113"/>
    <x v="19"/>
  </r>
  <r>
    <s v="FL1306"/>
    <s v="New York"/>
    <x v="0"/>
    <n v="9"/>
    <x v="0"/>
    <n v="-139.210738298113"/>
    <n v="-5.8173817527221301"/>
    <n v="2954"/>
    <n v="397"/>
    <n v="128"/>
    <x v="24"/>
  </r>
  <r>
    <s v="FL1307"/>
    <s v="Houston"/>
    <x v="3"/>
    <n v="8"/>
    <x v="0"/>
    <n v="-34.703639149827097"/>
    <n v="21.490194485970299"/>
    <n v="2846"/>
    <n v="374"/>
    <n v="138"/>
    <x v="8"/>
  </r>
  <r>
    <s v="FL1308"/>
    <s v="Miami"/>
    <x v="0"/>
    <n v="5"/>
    <x v="1"/>
    <n v="85.6385945404582"/>
    <n v="-15.985714343491599"/>
    <n v="2729"/>
    <n v="300"/>
    <n v="200"/>
    <x v="1"/>
  </r>
  <r>
    <s v="FL1309"/>
    <s v="Miami"/>
    <x v="1"/>
    <n v="10"/>
    <x v="0"/>
    <n v="73.639594089880305"/>
    <n v="-13.052438263751799"/>
    <n v="2931"/>
    <n v="356"/>
    <n v="105"/>
    <x v="3"/>
  </r>
  <r>
    <s v="FL1310"/>
    <s v="New York"/>
    <x v="3"/>
    <n v="9"/>
    <x v="0"/>
    <n v="-27.817690718184402"/>
    <n v="-30.548759849624801"/>
    <n v="2760"/>
    <n v="374"/>
    <n v="107"/>
    <x v="16"/>
  </r>
  <r>
    <s v="FL1311"/>
    <s v="Chicago"/>
    <x v="1"/>
    <n v="9"/>
    <x v="0"/>
    <n v="-55.251299537021403"/>
    <n v="11.5617270032165"/>
    <n v="2678"/>
    <n v="356"/>
    <n v="137"/>
    <x v="17"/>
  </r>
  <r>
    <s v="FL1312"/>
    <s v="Los Angeles"/>
    <x v="2"/>
    <n v="8"/>
    <x v="0"/>
    <n v="-36.859543720966599"/>
    <n v="63.103415042720897"/>
    <n v="2882"/>
    <n v="354"/>
    <n v="125"/>
    <x v="18"/>
  </r>
  <r>
    <s v="FL1313"/>
    <s v="New York"/>
    <x v="3"/>
    <n v="15"/>
    <x v="1"/>
    <n v="-84.8605452628899"/>
    <n v="-53.724891958863701"/>
    <n v="3500"/>
    <n v="600"/>
    <n v="50"/>
    <x v="16"/>
  </r>
  <r>
    <s v="FL1314"/>
    <s v="Los Angeles"/>
    <x v="1"/>
    <n v="8"/>
    <x v="0"/>
    <n v="-106.080142065552"/>
    <n v="78.197946975619502"/>
    <n v="3000"/>
    <n v="356"/>
    <n v="145"/>
    <x v="4"/>
  </r>
  <r>
    <s v="FL1315"/>
    <s v="Los Angeles"/>
    <x v="2"/>
    <n v="7"/>
    <x v="0"/>
    <n v="-6.1057088787996197"/>
    <n v="34.035777674681299"/>
    <n v="3000"/>
    <n v="150"/>
    <n v="200"/>
    <x v="18"/>
  </r>
  <r>
    <s v="FL1316"/>
    <s v="Chicago"/>
    <x v="0"/>
    <n v="8"/>
    <x v="0"/>
    <n v="-83.3278478156614"/>
    <n v="58.1891782824054"/>
    <n v="2583"/>
    <n v="397"/>
    <n v="133"/>
    <x v="2"/>
  </r>
  <r>
    <s v="FL1317"/>
    <s v="Los Angeles"/>
    <x v="2"/>
    <n v="7"/>
    <x v="0"/>
    <n v="-76.513800636989998"/>
    <n v="10.1143246734021"/>
    <n v="2500"/>
    <n v="354"/>
    <n v="200"/>
    <x v="18"/>
  </r>
  <r>
    <s v="FL1318"/>
    <s v="Los Angeles"/>
    <x v="4"/>
    <n v="11"/>
    <x v="0"/>
    <n v="56.432182850840498"/>
    <n v="50.313006256331398"/>
    <n v="2794"/>
    <n v="402"/>
    <n v="113"/>
    <x v="22"/>
  </r>
  <r>
    <s v="FL1319"/>
    <s v="Chicago"/>
    <x v="2"/>
    <n v="10"/>
    <x v="0"/>
    <n v="168.673439411961"/>
    <n v="-87.083928478895899"/>
    <n v="2928"/>
    <n v="354"/>
    <n v="121"/>
    <x v="5"/>
  </r>
  <r>
    <s v="FL1320"/>
    <s v="Los Angeles"/>
    <x v="2"/>
    <n v="12"/>
    <x v="0"/>
    <n v="37.309392201374997"/>
    <n v="57.308476460316299"/>
    <n v="2500"/>
    <n v="150"/>
    <n v="200"/>
    <x v="18"/>
  </r>
  <r>
    <s v="FL1321"/>
    <s v="Los Angeles"/>
    <x v="4"/>
    <n v="11"/>
    <x v="0"/>
    <n v="-152.287391856612"/>
    <n v="-82.775005364633998"/>
    <n v="2794"/>
    <n v="402"/>
    <n v="113"/>
    <x v="22"/>
  </r>
  <r>
    <s v="FL1322"/>
    <s v="Los Angeles"/>
    <x v="1"/>
    <n v="7"/>
    <x v="0"/>
    <n v="-152.78989901253601"/>
    <n v="70.184407745315198"/>
    <n v="3000"/>
    <n v="356"/>
    <n v="200"/>
    <x v="4"/>
  </r>
  <r>
    <s v="FL1323"/>
    <s v="New York"/>
    <x v="1"/>
    <n v="9"/>
    <x v="0"/>
    <n v="162.512359504404"/>
    <n v="88.553294502955794"/>
    <n v="2800"/>
    <n v="356"/>
    <n v="120"/>
    <x v="15"/>
  </r>
  <r>
    <s v="FL1324"/>
    <s v="New York"/>
    <x v="2"/>
    <n v="9"/>
    <x v="0"/>
    <n v="-72.9753154893599"/>
    <n v="-37.067856808179997"/>
    <n v="3500"/>
    <n v="600"/>
    <n v="50"/>
    <x v="13"/>
  </r>
  <r>
    <s v="FL1325"/>
    <s v="New York"/>
    <x v="4"/>
    <n v="5"/>
    <x v="2"/>
    <n v="-146.85588501030901"/>
    <n v="-52.142659868557097"/>
    <n v="2500"/>
    <n v="300"/>
    <n v="150"/>
    <x v="20"/>
  </r>
  <r>
    <s v="FL1326"/>
    <s v="Chicago"/>
    <x v="4"/>
    <n v="10"/>
    <x v="0"/>
    <n v="35.656051374137299"/>
    <n v="47.7654054944473"/>
    <n v="2636"/>
    <n v="402"/>
    <n v="114"/>
    <x v="9"/>
  </r>
  <r>
    <s v="FL1327"/>
    <s v="Miami"/>
    <x v="0"/>
    <n v="9"/>
    <x v="0"/>
    <n v="44.513560184495802"/>
    <n v="-44.455258634354401"/>
    <n v="2729"/>
    <n v="397"/>
    <n v="126"/>
    <x v="1"/>
  </r>
  <r>
    <s v="FL1328"/>
    <s v="Los Angeles"/>
    <x v="1"/>
    <n v="8"/>
    <x v="0"/>
    <n v="53.461735242727698"/>
    <n v="65.801228970996604"/>
    <n v="3000"/>
    <n v="356"/>
    <n v="145"/>
    <x v="4"/>
  </r>
  <r>
    <s v="FL1329"/>
    <s v="Los Angeles"/>
    <x v="3"/>
    <n v="9"/>
    <x v="1"/>
    <n v="-83.735269971285106"/>
    <n v="-71.488333411654196"/>
    <n v="2760"/>
    <n v="600"/>
    <n v="100"/>
    <x v="10"/>
  </r>
  <r>
    <s v="FL1330"/>
    <s v="Chicago"/>
    <x v="1"/>
    <n v="15"/>
    <x v="1"/>
    <n v="-174.56015368278901"/>
    <n v="-67.328064651715493"/>
    <n v="3000"/>
    <n v="450"/>
    <n v="100"/>
    <x v="17"/>
  </r>
  <r>
    <s v="FL1331"/>
    <s v="Los Angeles"/>
    <x v="1"/>
    <n v="8"/>
    <x v="0"/>
    <n v="167.40553300361"/>
    <n v="86.247279918110806"/>
    <n v="3000"/>
    <n v="356"/>
    <n v="145"/>
    <x v="4"/>
  </r>
  <r>
    <s v="FL1332"/>
    <s v="New York"/>
    <x v="0"/>
    <n v="9"/>
    <x v="0"/>
    <n v="-89.678503551203093"/>
    <n v="31.291001688600801"/>
    <n v="2954"/>
    <n v="397"/>
    <n v="128"/>
    <x v="24"/>
  </r>
  <r>
    <s v="FL1333"/>
    <s v="Miami"/>
    <x v="3"/>
    <n v="8"/>
    <x v="0"/>
    <n v="63.369463698917102"/>
    <n v="62.439700397211503"/>
    <n v="2615"/>
    <n v="374"/>
    <n v="121"/>
    <x v="14"/>
  </r>
  <r>
    <s v="FL1334"/>
    <s v="Houston"/>
    <x v="0"/>
    <n v="10"/>
    <x v="0"/>
    <n v="74.386753156335502"/>
    <n v="-31.6207120767268"/>
    <n v="2550"/>
    <n v="397"/>
    <n v="120"/>
    <x v="0"/>
  </r>
  <r>
    <s v="FL1335"/>
    <s v="Los Angeles"/>
    <x v="3"/>
    <n v="5"/>
    <x v="0"/>
    <n v="39.602670148614898"/>
    <n v="31.7670749137088"/>
    <n v="3000"/>
    <n v="374"/>
    <n v="131"/>
    <x v="10"/>
  </r>
  <r>
    <s v="FL1336"/>
    <s v="New York"/>
    <x v="2"/>
    <n v="9"/>
    <x v="2"/>
    <n v="-67.353338083086598"/>
    <n v="16.963528915547499"/>
    <n v="2847"/>
    <n v="300"/>
    <n v="100"/>
    <x v="13"/>
  </r>
  <r>
    <s v="FL1337"/>
    <s v="Houston"/>
    <x v="3"/>
    <n v="5"/>
    <x v="0"/>
    <n v="-82.405348644936296"/>
    <n v="18.5670216221305"/>
    <n v="3000"/>
    <n v="300"/>
    <n v="138"/>
    <x v="8"/>
  </r>
  <r>
    <s v="FL1338"/>
    <s v="Miami"/>
    <x v="0"/>
    <n v="15"/>
    <x v="0"/>
    <n v="35.160581772973103"/>
    <n v="32.855842716789901"/>
    <n v="2729"/>
    <n v="300"/>
    <n v="150"/>
    <x v="1"/>
  </r>
  <r>
    <s v="FL1339"/>
    <s v="Houston"/>
    <x v="1"/>
    <n v="9"/>
    <x v="0"/>
    <n v="131.79442810020899"/>
    <n v="13.5646511632377"/>
    <n v="3000"/>
    <n v="600"/>
    <n v="50"/>
    <x v="12"/>
  </r>
  <r>
    <s v="FL1340"/>
    <s v="New York"/>
    <x v="3"/>
    <n v="9"/>
    <x v="2"/>
    <n v="160.82414241242199"/>
    <n v="-12.7687735255201"/>
    <n v="3000"/>
    <n v="300"/>
    <n v="150"/>
    <x v="16"/>
  </r>
  <r>
    <s v="FL1341"/>
    <s v="Houston"/>
    <x v="3"/>
    <n v="5"/>
    <x v="0"/>
    <n v="-141.87391041464701"/>
    <n v="-40.333915011501603"/>
    <n v="2500"/>
    <n v="150"/>
    <n v="150"/>
    <x v="8"/>
  </r>
  <r>
    <s v="FL1342"/>
    <s v="Chicago"/>
    <x v="4"/>
    <n v="10"/>
    <x v="0"/>
    <n v="-124.26169946482101"/>
    <n v="48.344639564376401"/>
    <n v="2636"/>
    <n v="402"/>
    <n v="114"/>
    <x v="9"/>
  </r>
  <r>
    <s v="FL1343"/>
    <s v="Houston"/>
    <x v="1"/>
    <n v="12"/>
    <x v="0"/>
    <n v="160.10505316190901"/>
    <n v="-49.270962599426497"/>
    <n v="2500"/>
    <n v="356"/>
    <n v="150"/>
    <x v="12"/>
  </r>
  <r>
    <s v="FL1344"/>
    <s v="Los Angeles"/>
    <x v="2"/>
    <n v="8"/>
    <x v="0"/>
    <n v="85.152682200525305"/>
    <n v="34.6237751077946"/>
    <n v="2882"/>
    <n v="354"/>
    <n v="125"/>
    <x v="18"/>
  </r>
  <r>
    <s v="FL1345"/>
    <s v="Los Angeles"/>
    <x v="0"/>
    <n v="7"/>
    <x v="2"/>
    <n v="137.877776938718"/>
    <n v="-48.000091923121197"/>
    <n v="2000"/>
    <n v="150"/>
    <n v="200"/>
    <x v="23"/>
  </r>
  <r>
    <s v="FL1346"/>
    <s v="Chicago"/>
    <x v="2"/>
    <n v="10"/>
    <x v="0"/>
    <n v="-107.052251711276"/>
    <n v="22.5594305918017"/>
    <n v="2928"/>
    <n v="354"/>
    <n v="121"/>
    <x v="5"/>
  </r>
  <r>
    <s v="FL1347"/>
    <s v="New York"/>
    <x v="1"/>
    <n v="12"/>
    <x v="1"/>
    <n v="31.5309135993847"/>
    <n v="44.474088083225197"/>
    <n v="2800"/>
    <n v="600"/>
    <n v="120"/>
    <x v="15"/>
  </r>
  <r>
    <s v="FL1348"/>
    <s v="Los Angeles"/>
    <x v="3"/>
    <n v="9"/>
    <x v="0"/>
    <n v="72.410253990290499"/>
    <n v="-50.631499996823003"/>
    <n v="2000"/>
    <n v="374"/>
    <n v="150"/>
    <x v="10"/>
  </r>
  <r>
    <s v="FL1349"/>
    <s v="Miami"/>
    <x v="3"/>
    <n v="12"/>
    <x v="0"/>
    <n v="64.840278760910195"/>
    <n v="-79.210205844964506"/>
    <n v="2500"/>
    <n v="600"/>
    <n v="50"/>
    <x v="14"/>
  </r>
  <r>
    <s v="FL1350"/>
    <s v="Los Angeles"/>
    <x v="1"/>
    <n v="8"/>
    <x v="0"/>
    <n v="-33.065391287988703"/>
    <n v="-66.424726261048704"/>
    <n v="3000"/>
    <n v="356"/>
    <n v="145"/>
    <x v="4"/>
  </r>
  <r>
    <s v="FL1351"/>
    <s v="Los Angeles"/>
    <x v="3"/>
    <n v="8"/>
    <x v="0"/>
    <n v="-174.45783899112899"/>
    <n v="19.079454108784599"/>
    <n v="2760"/>
    <n v="374"/>
    <n v="131"/>
    <x v="10"/>
  </r>
  <r>
    <s v="FL1352"/>
    <s v="New York"/>
    <x v="3"/>
    <n v="9"/>
    <x v="0"/>
    <n v="29.853380449534701"/>
    <n v="62.900353120632403"/>
    <n v="2760"/>
    <n v="374"/>
    <n v="107"/>
    <x v="16"/>
  </r>
  <r>
    <s v="FL1353"/>
    <s v="Houston"/>
    <x v="3"/>
    <n v="9"/>
    <x v="2"/>
    <n v="-88.883445895340799"/>
    <n v="-81.900572177623602"/>
    <n v="3000"/>
    <n v="374"/>
    <n v="200"/>
    <x v="8"/>
  </r>
  <r>
    <s v="FL1354"/>
    <s v="Los Angeles"/>
    <x v="0"/>
    <n v="9"/>
    <x v="0"/>
    <n v="-17.908471388559501"/>
    <n v="42.147226627496302"/>
    <n v="2500"/>
    <n v="397"/>
    <n v="150"/>
    <x v="23"/>
  </r>
  <r>
    <s v="FL1355"/>
    <s v="Chicago"/>
    <x v="0"/>
    <n v="8"/>
    <x v="0"/>
    <n v="164.72916543017399"/>
    <n v="-28.562643728990601"/>
    <n v="2583"/>
    <n v="397"/>
    <n v="133"/>
    <x v="2"/>
  </r>
  <r>
    <s v="FL1356"/>
    <s v="Houston"/>
    <x v="4"/>
    <n v="15"/>
    <x v="1"/>
    <n v="-36.347285648723499"/>
    <n v="-3.8648934144859499"/>
    <n v="3000"/>
    <n v="300"/>
    <n v="50"/>
    <x v="11"/>
  </r>
  <r>
    <s v="FL1357"/>
    <s v="Miami"/>
    <x v="2"/>
    <n v="8"/>
    <x v="0"/>
    <n v="122.328578399194"/>
    <n v="77.194718972201798"/>
    <n v="2718"/>
    <n v="354"/>
    <n v="115"/>
    <x v="7"/>
  </r>
  <r>
    <s v="FL1358"/>
    <s v="New York"/>
    <x v="1"/>
    <n v="9"/>
    <x v="1"/>
    <n v="-112.12538193027"/>
    <n v="-30.2451291475478"/>
    <n v="3500"/>
    <n v="450"/>
    <n v="100"/>
    <x v="15"/>
  </r>
  <r>
    <s v="FL1359"/>
    <s v="Miami"/>
    <x v="1"/>
    <n v="10"/>
    <x v="0"/>
    <n v="62.085779289010397"/>
    <n v="-6.2393518908925101"/>
    <n v="2931"/>
    <n v="356"/>
    <n v="105"/>
    <x v="3"/>
  </r>
  <r>
    <s v="FL1360"/>
    <s v="Houston"/>
    <x v="1"/>
    <n v="7"/>
    <x v="0"/>
    <n v="171.72250359802001"/>
    <n v="-87.537165343077405"/>
    <n v="2500"/>
    <n v="600"/>
    <n v="150"/>
    <x v="12"/>
  </r>
  <r>
    <s v="FL1361"/>
    <s v="Houston"/>
    <x v="4"/>
    <n v="8"/>
    <x v="0"/>
    <n v="-143.31848368574299"/>
    <n v="-75.312230399129106"/>
    <n v="2500"/>
    <n v="402"/>
    <n v="111"/>
    <x v="11"/>
  </r>
  <r>
    <s v="FL1362"/>
    <s v="Houston"/>
    <x v="0"/>
    <n v="10"/>
    <x v="0"/>
    <n v="-177.004820798211"/>
    <n v="-43.453513595738897"/>
    <n v="2550"/>
    <n v="397"/>
    <n v="120"/>
    <x v="0"/>
  </r>
  <r>
    <s v="FL1363"/>
    <s v="Miami"/>
    <x v="4"/>
    <n v="9"/>
    <x v="0"/>
    <n v="-23.910194652258799"/>
    <n v="-84.9865966522066"/>
    <n v="2700"/>
    <n v="402"/>
    <n v="128"/>
    <x v="21"/>
  </r>
  <r>
    <s v="FL1364"/>
    <s v="Houston"/>
    <x v="1"/>
    <n v="5"/>
    <x v="2"/>
    <n v="-146.65482610150801"/>
    <n v="23.647558688685201"/>
    <n v="2000"/>
    <n v="150"/>
    <n v="150"/>
    <x v="12"/>
  </r>
  <r>
    <s v="FL1365"/>
    <s v="Miami"/>
    <x v="2"/>
    <n v="8"/>
    <x v="0"/>
    <n v="89.4183658834433"/>
    <n v="-13.2482957757079"/>
    <n v="2718"/>
    <n v="354"/>
    <n v="115"/>
    <x v="7"/>
  </r>
  <r>
    <s v="FL1366"/>
    <s v="Houston"/>
    <x v="3"/>
    <n v="7"/>
    <x v="0"/>
    <n v="149.23751898548099"/>
    <n v="8.6661364910439698"/>
    <n v="3000"/>
    <n v="150"/>
    <n v="100"/>
    <x v="8"/>
  </r>
  <r>
    <s v="FL1367"/>
    <s v="Chicago"/>
    <x v="0"/>
    <n v="7"/>
    <x v="1"/>
    <n v="-23.752449824846799"/>
    <n v="-58.563506538660697"/>
    <n v="3000"/>
    <n v="300"/>
    <n v="50"/>
    <x v="2"/>
  </r>
  <r>
    <s v="FL1368"/>
    <s v="Houston"/>
    <x v="0"/>
    <n v="9"/>
    <x v="2"/>
    <n v="-86.8638088240413"/>
    <n v="-36.732234701409098"/>
    <n v="2000"/>
    <n v="300"/>
    <n v="120"/>
    <x v="0"/>
  </r>
  <r>
    <s v="FL1369"/>
    <s v="Miami"/>
    <x v="4"/>
    <n v="5"/>
    <x v="1"/>
    <n v="-23.614805157620498"/>
    <n v="29.488405473490499"/>
    <n v="3500"/>
    <n v="450"/>
    <n v="128"/>
    <x v="21"/>
  </r>
  <r>
    <s v="FL1370"/>
    <s v="Los Angeles"/>
    <x v="0"/>
    <n v="10"/>
    <x v="0"/>
    <n v="80.4412144260004"/>
    <n v="83.754490253471999"/>
    <n v="2586"/>
    <n v="397"/>
    <n v="119"/>
    <x v="23"/>
  </r>
  <r>
    <s v="FL1371"/>
    <s v="Houston"/>
    <x v="1"/>
    <n v="9"/>
    <x v="0"/>
    <n v="-176.74050183106601"/>
    <n v="-80.924980751602305"/>
    <n v="2500"/>
    <n v="356"/>
    <n v="127"/>
    <x v="12"/>
  </r>
  <r>
    <s v="FL1372"/>
    <s v="Los Angeles"/>
    <x v="1"/>
    <n v="12"/>
    <x v="1"/>
    <n v="32.203436214490999"/>
    <n v="70.269177753947901"/>
    <n v="3000"/>
    <n v="450"/>
    <n v="50"/>
    <x v="4"/>
  </r>
  <r>
    <s v="FL1373"/>
    <s v="Chicago"/>
    <x v="4"/>
    <n v="10"/>
    <x v="0"/>
    <n v="40.785006559456498"/>
    <n v="13.838616236017501"/>
    <n v="2500"/>
    <n v="402"/>
    <n v="50"/>
    <x v="9"/>
  </r>
  <r>
    <s v="FL1374"/>
    <s v="New York"/>
    <x v="1"/>
    <n v="5"/>
    <x v="1"/>
    <n v="49.567768882536797"/>
    <n v="11.5055220160123"/>
    <n v="2500"/>
    <n v="600"/>
    <n v="120"/>
    <x v="15"/>
  </r>
  <r>
    <s v="FL1375"/>
    <s v="Chicago"/>
    <x v="2"/>
    <n v="5"/>
    <x v="0"/>
    <n v="-92.872051206884194"/>
    <n v="5.0136337396864399E-2"/>
    <n v="2928"/>
    <n v="450"/>
    <n v="100"/>
    <x v="5"/>
  </r>
  <r>
    <s v="FL1376"/>
    <s v="Houston"/>
    <x v="4"/>
    <n v="5"/>
    <x v="2"/>
    <n v="77.058980416125607"/>
    <n v="-77.509064537246999"/>
    <n v="2000"/>
    <n v="150"/>
    <n v="150"/>
    <x v="11"/>
  </r>
  <r>
    <s v="FL1377"/>
    <s v="Los Angeles"/>
    <x v="2"/>
    <n v="8"/>
    <x v="0"/>
    <n v="-147.09906492056001"/>
    <n v="-73.822166687491105"/>
    <n v="2882"/>
    <n v="354"/>
    <n v="125"/>
    <x v="18"/>
  </r>
  <r>
    <s v="FL1378"/>
    <s v="Los Angeles"/>
    <x v="3"/>
    <n v="8"/>
    <x v="0"/>
    <n v="-108.26267887195201"/>
    <n v="18.1641610186355"/>
    <n v="2500"/>
    <n v="374"/>
    <n v="150"/>
    <x v="10"/>
  </r>
  <r>
    <s v="FL1379"/>
    <s v="Miami"/>
    <x v="2"/>
    <n v="7"/>
    <x v="2"/>
    <n v="135.88921679561301"/>
    <n v="-28.6274571415995"/>
    <n v="2718"/>
    <n v="150"/>
    <n v="100"/>
    <x v="7"/>
  </r>
  <r>
    <s v="FL1380"/>
    <s v="Los Angeles"/>
    <x v="3"/>
    <n v="8"/>
    <x v="0"/>
    <n v="85.940334261563905"/>
    <n v="75.108251983982498"/>
    <n v="2760"/>
    <n v="374"/>
    <n v="131"/>
    <x v="10"/>
  </r>
  <r>
    <s v="FL1381"/>
    <s v="Miami"/>
    <x v="3"/>
    <n v="8"/>
    <x v="0"/>
    <n v="-175.051600555916"/>
    <n v="-16.813703275295001"/>
    <n v="2615"/>
    <n v="374"/>
    <n v="121"/>
    <x v="14"/>
  </r>
  <r>
    <s v="FL1382"/>
    <s v="New York"/>
    <x v="2"/>
    <n v="9"/>
    <x v="0"/>
    <n v="-90.584546266871897"/>
    <n v="-64.209337433524595"/>
    <n v="2847"/>
    <n v="354"/>
    <n v="122"/>
    <x v="13"/>
  </r>
  <r>
    <s v="FL1383"/>
    <s v="Houston"/>
    <x v="4"/>
    <n v="12"/>
    <x v="0"/>
    <n v="-102.813666122461"/>
    <n v="38.649390030366497"/>
    <n v="2000"/>
    <n v="300"/>
    <n v="100"/>
    <x v="11"/>
  </r>
  <r>
    <s v="FL1384"/>
    <s v="Miami"/>
    <x v="1"/>
    <n v="9"/>
    <x v="0"/>
    <n v="-82.509721906689904"/>
    <n v="-37.1963841406182"/>
    <n v="2500"/>
    <n v="356"/>
    <n v="200"/>
    <x v="3"/>
  </r>
  <r>
    <s v="FL1385"/>
    <s v="New York"/>
    <x v="1"/>
    <n v="7"/>
    <x v="1"/>
    <n v="-90.878482699240905"/>
    <n v="4.5846553240607797"/>
    <n v="2500"/>
    <n v="356"/>
    <n v="150"/>
    <x v="15"/>
  </r>
  <r>
    <s v="FL1386"/>
    <s v="Los Angeles"/>
    <x v="3"/>
    <n v="8"/>
    <x v="1"/>
    <n v="-157.49053353257599"/>
    <n v="35.609901390930602"/>
    <n v="2760"/>
    <n v="300"/>
    <n v="200"/>
    <x v="10"/>
  </r>
  <r>
    <s v="FL1387"/>
    <s v="Los Angeles"/>
    <x v="3"/>
    <n v="15"/>
    <x v="2"/>
    <n v="-14.7814140251447"/>
    <n v="72.047540016372693"/>
    <n v="3000"/>
    <n v="300"/>
    <n v="100"/>
    <x v="10"/>
  </r>
  <r>
    <s v="FL1388"/>
    <s v="New York"/>
    <x v="4"/>
    <n v="11"/>
    <x v="0"/>
    <n v="83.784050923019393"/>
    <n v="52.5944150643017"/>
    <n v="2588"/>
    <n v="402"/>
    <n v="134"/>
    <x v="20"/>
  </r>
  <r>
    <s v="FL1389"/>
    <s v="Los Angeles"/>
    <x v="0"/>
    <n v="12"/>
    <x v="2"/>
    <n v="38.423420898277101"/>
    <n v="31.744992217090299"/>
    <n v="2000"/>
    <n v="300"/>
    <n v="150"/>
    <x v="23"/>
  </r>
  <r>
    <s v="FL1390"/>
    <s v="New York"/>
    <x v="2"/>
    <n v="7"/>
    <x v="0"/>
    <n v="62.233800695308702"/>
    <n v="32.333972831125799"/>
    <n v="3500"/>
    <n v="450"/>
    <n v="200"/>
    <x v="13"/>
  </r>
  <r>
    <s v="FL1391"/>
    <s v="Miami"/>
    <x v="3"/>
    <n v="9"/>
    <x v="0"/>
    <n v="-150.78629572695399"/>
    <n v="80.266435925775596"/>
    <n v="2000"/>
    <n v="150"/>
    <n v="200"/>
    <x v="14"/>
  </r>
  <r>
    <s v="FL1392"/>
    <s v="Miami"/>
    <x v="1"/>
    <n v="7"/>
    <x v="0"/>
    <n v="162.53665566364299"/>
    <n v="-36.751662450623499"/>
    <n v="2500"/>
    <n v="300"/>
    <n v="50"/>
    <x v="3"/>
  </r>
  <r>
    <s v="FL1393"/>
    <s v="New York"/>
    <x v="4"/>
    <n v="5"/>
    <x v="0"/>
    <n v="121.857060183489"/>
    <n v="-89.799823044686306"/>
    <n v="2500"/>
    <n v="402"/>
    <n v="134"/>
    <x v="20"/>
  </r>
  <r>
    <s v="FL1394"/>
    <s v="Miami"/>
    <x v="2"/>
    <n v="8"/>
    <x v="0"/>
    <n v="109.832514658439"/>
    <n v="-41.048179308324201"/>
    <n v="2718"/>
    <n v="354"/>
    <n v="115"/>
    <x v="7"/>
  </r>
  <r>
    <s v="FL1395"/>
    <s v="Miami"/>
    <x v="4"/>
    <n v="5"/>
    <x v="1"/>
    <n v="116.274169815036"/>
    <n v="-50.779551667186098"/>
    <n v="3500"/>
    <n v="402"/>
    <n v="50"/>
    <x v="21"/>
  </r>
  <r>
    <s v="FL1396"/>
    <s v="Miami"/>
    <x v="2"/>
    <n v="5"/>
    <x v="1"/>
    <n v="155.77578292779401"/>
    <n v="29.130225320519699"/>
    <n v="2718"/>
    <n v="450"/>
    <n v="100"/>
    <x v="7"/>
  </r>
  <r>
    <s v="FL1397"/>
    <s v="Chicago"/>
    <x v="2"/>
    <n v="9"/>
    <x v="2"/>
    <n v="15.9314278009312"/>
    <n v="24.0680879577952"/>
    <n v="3500"/>
    <n v="300"/>
    <n v="50"/>
    <x v="5"/>
  </r>
  <r>
    <s v="FL1398"/>
    <s v="Houston"/>
    <x v="3"/>
    <n v="8"/>
    <x v="0"/>
    <n v="-107.898473567655"/>
    <n v="16.823048886850302"/>
    <n v="2846"/>
    <n v="374"/>
    <n v="138"/>
    <x v="8"/>
  </r>
  <r>
    <s v="FL1399"/>
    <s v="Los Angeles"/>
    <x v="4"/>
    <n v="12"/>
    <x v="0"/>
    <n v="42.042098826914803"/>
    <n v="-87.076180222298305"/>
    <n v="2794"/>
    <n v="402"/>
    <n v="50"/>
    <x v="22"/>
  </r>
  <r>
    <s v="FL1400"/>
    <s v="Chicago"/>
    <x v="4"/>
    <n v="7"/>
    <x v="0"/>
    <n v="87.437337720458103"/>
    <n v="41.180049801116603"/>
    <n v="3500"/>
    <n v="450"/>
    <n v="100"/>
    <x v="9"/>
  </r>
  <r>
    <s v="FL1401"/>
    <s v="Miami"/>
    <x v="1"/>
    <n v="5"/>
    <x v="0"/>
    <n v="85.650261607449096"/>
    <n v="-31.764525752611501"/>
    <n v="3500"/>
    <n v="600"/>
    <n v="200"/>
    <x v="3"/>
  </r>
  <r>
    <s v="FL1402"/>
    <s v="New York"/>
    <x v="1"/>
    <n v="7"/>
    <x v="0"/>
    <n v="7.7216487000768304"/>
    <n v="29.710078021193599"/>
    <n v="2800"/>
    <n v="300"/>
    <n v="100"/>
    <x v="15"/>
  </r>
  <r>
    <s v="FL1403"/>
    <s v="Miami"/>
    <x v="3"/>
    <n v="8"/>
    <x v="2"/>
    <n v="-155.35486103991201"/>
    <n v="10.1841171303876"/>
    <n v="2500"/>
    <n v="150"/>
    <n v="150"/>
    <x v="14"/>
  </r>
  <r>
    <s v="FL1404"/>
    <s v="Houston"/>
    <x v="3"/>
    <n v="8"/>
    <x v="0"/>
    <n v="-46.399342165154003"/>
    <n v="-28.308433422976702"/>
    <n v="2846"/>
    <n v="374"/>
    <n v="138"/>
    <x v="8"/>
  </r>
  <r>
    <s v="FL1405"/>
    <s v="Miami"/>
    <x v="0"/>
    <n v="9"/>
    <x v="0"/>
    <n v="151.47597904680899"/>
    <n v="-65.776271921260602"/>
    <n v="2729"/>
    <n v="397"/>
    <n v="126"/>
    <x v="1"/>
  </r>
  <r>
    <s v="FL1406"/>
    <s v="New York"/>
    <x v="1"/>
    <n v="12"/>
    <x v="0"/>
    <n v="30.401607512673401"/>
    <n v="-73.0045984211134"/>
    <n v="2500"/>
    <n v="150"/>
    <n v="150"/>
    <x v="15"/>
  </r>
  <r>
    <s v="FL1407"/>
    <s v="Houston"/>
    <x v="2"/>
    <n v="15"/>
    <x v="0"/>
    <n v="13.7994995720569"/>
    <n v="59.673299960200197"/>
    <n v="2647"/>
    <n v="600"/>
    <n v="113"/>
    <x v="19"/>
  </r>
  <r>
    <s v="FL1408"/>
    <s v="Miami"/>
    <x v="4"/>
    <n v="9"/>
    <x v="0"/>
    <n v="-83.212734822410297"/>
    <n v="75.311557574680506"/>
    <n v="2700"/>
    <n v="402"/>
    <n v="128"/>
    <x v="21"/>
  </r>
  <r>
    <s v="FL1409"/>
    <s v="Houston"/>
    <x v="3"/>
    <n v="9"/>
    <x v="0"/>
    <n v="-47.3583888300316"/>
    <n v="26.961848417573901"/>
    <n v="3500"/>
    <n v="450"/>
    <n v="200"/>
    <x v="8"/>
  </r>
  <r>
    <s v="FL1410"/>
    <s v="Los Angeles"/>
    <x v="4"/>
    <n v="11"/>
    <x v="2"/>
    <n v="142.32459209514101"/>
    <n v="-71.381859325112998"/>
    <n v="2500"/>
    <n v="300"/>
    <n v="100"/>
    <x v="22"/>
  </r>
  <r>
    <s v="FL1411"/>
    <s v="Los Angeles"/>
    <x v="4"/>
    <n v="11"/>
    <x v="0"/>
    <n v="59.9266971096609"/>
    <n v="-17.635100960116699"/>
    <n v="2794"/>
    <n v="402"/>
    <n v="113"/>
    <x v="22"/>
  </r>
  <r>
    <s v="FL1412"/>
    <s v="Miami"/>
    <x v="0"/>
    <n v="15"/>
    <x v="2"/>
    <n v="103.45932963084"/>
    <n v="41.209056018928301"/>
    <n v="2000"/>
    <n v="300"/>
    <n v="100"/>
    <x v="1"/>
  </r>
  <r>
    <s v="FL1413"/>
    <s v="Houston"/>
    <x v="1"/>
    <n v="9"/>
    <x v="0"/>
    <n v="-16.435647695644199"/>
    <n v="50.367759121812298"/>
    <n v="2000"/>
    <n v="356"/>
    <n v="100"/>
    <x v="12"/>
  </r>
  <r>
    <s v="FL1414"/>
    <s v="New York"/>
    <x v="3"/>
    <n v="7"/>
    <x v="1"/>
    <n v="46.888999004216899"/>
    <n v="-68.720647987604096"/>
    <n v="2500"/>
    <n v="600"/>
    <n v="100"/>
    <x v="16"/>
  </r>
  <r>
    <s v="FL1415"/>
    <s v="Miami"/>
    <x v="4"/>
    <n v="9"/>
    <x v="1"/>
    <n v="-90.581900852445301"/>
    <n v="-89.994470607831204"/>
    <n v="2700"/>
    <n v="600"/>
    <n v="100"/>
    <x v="21"/>
  </r>
  <r>
    <s v="FL1416"/>
    <s v="Los Angeles"/>
    <x v="3"/>
    <n v="5"/>
    <x v="1"/>
    <n v="73.965898902055002"/>
    <n v="38.1846682585089"/>
    <n v="3500"/>
    <n v="600"/>
    <n v="200"/>
    <x v="10"/>
  </r>
  <r>
    <s v="FL1417"/>
    <s v="Los Angeles"/>
    <x v="2"/>
    <n v="12"/>
    <x v="1"/>
    <n v="-26.0635198667986"/>
    <n v="-25.812688322483002"/>
    <n v="3500"/>
    <n v="354"/>
    <n v="50"/>
    <x v="18"/>
  </r>
  <r>
    <s v="FL1418"/>
    <s v="Miami"/>
    <x v="0"/>
    <n v="5"/>
    <x v="2"/>
    <n v="-20.6836146666916"/>
    <n v="-44.193360308713203"/>
    <n v="2500"/>
    <n v="450"/>
    <n v="100"/>
    <x v="1"/>
  </r>
  <r>
    <s v="FL1419"/>
    <s v="Houston"/>
    <x v="2"/>
    <n v="7"/>
    <x v="2"/>
    <n v="53.7560368476774"/>
    <n v="-87.678455437885404"/>
    <n v="2500"/>
    <n v="300"/>
    <n v="200"/>
    <x v="19"/>
  </r>
  <r>
    <s v="FL1420"/>
    <s v="Los Angeles"/>
    <x v="3"/>
    <n v="8"/>
    <x v="0"/>
    <n v="157.06102372881401"/>
    <n v="7.2538932170699404"/>
    <n v="2760"/>
    <n v="374"/>
    <n v="131"/>
    <x v="10"/>
  </r>
  <r>
    <s v="FL1421"/>
    <s v="Houston"/>
    <x v="3"/>
    <n v="15"/>
    <x v="0"/>
    <n v="-156.95771522089601"/>
    <n v="63.207132376676697"/>
    <n v="3000"/>
    <n v="374"/>
    <n v="150"/>
    <x v="8"/>
  </r>
  <r>
    <s v="FL1422"/>
    <s v="Los Angeles"/>
    <x v="1"/>
    <n v="8"/>
    <x v="0"/>
    <n v="116.90756544492299"/>
    <n v="82.373696329065794"/>
    <n v="3000"/>
    <n v="356"/>
    <n v="145"/>
    <x v="4"/>
  </r>
  <r>
    <s v="FL1423"/>
    <s v="Los Angeles"/>
    <x v="4"/>
    <n v="11"/>
    <x v="0"/>
    <n v="-74.742080251610503"/>
    <n v="11.8340911103921"/>
    <n v="2794"/>
    <n v="402"/>
    <n v="113"/>
    <x v="22"/>
  </r>
  <r>
    <s v="FL1424"/>
    <s v="Chicago"/>
    <x v="4"/>
    <n v="10"/>
    <x v="0"/>
    <n v="-20.188996377704001"/>
    <n v="2.6030389931809399"/>
    <n v="2636"/>
    <n v="402"/>
    <n v="114"/>
    <x v="9"/>
  </r>
  <r>
    <s v="FL1425"/>
    <s v="Los Angeles"/>
    <x v="2"/>
    <n v="8"/>
    <x v="0"/>
    <n v="-172.111201640997"/>
    <n v="-74.689850611936606"/>
    <n v="2882"/>
    <n v="354"/>
    <n v="125"/>
    <x v="18"/>
  </r>
  <r>
    <s v="FL1426"/>
    <s v="New York"/>
    <x v="0"/>
    <n v="9"/>
    <x v="2"/>
    <n v="-71.623411979647301"/>
    <n v="8.7971042776679607"/>
    <n v="2954"/>
    <n v="450"/>
    <n v="50"/>
    <x v="24"/>
  </r>
  <r>
    <s v="FL1427"/>
    <s v="Miami"/>
    <x v="4"/>
    <n v="12"/>
    <x v="1"/>
    <n v="0.94724734684697898"/>
    <n v="-21.603765786229001"/>
    <n v="2000"/>
    <n v="600"/>
    <n v="100"/>
    <x v="21"/>
  </r>
  <r>
    <s v="FL1428"/>
    <s v="Miami"/>
    <x v="1"/>
    <n v="10"/>
    <x v="0"/>
    <n v="-159.77661215492199"/>
    <n v="19.284350559043801"/>
    <n v="2931"/>
    <n v="356"/>
    <n v="105"/>
    <x v="3"/>
  </r>
  <r>
    <s v="FL1429"/>
    <s v="Houston"/>
    <x v="2"/>
    <n v="9"/>
    <x v="0"/>
    <n v="-3.2055374220605599"/>
    <n v="-20.029257382221601"/>
    <n v="2647"/>
    <n v="354"/>
    <n v="113"/>
    <x v="19"/>
  </r>
  <r>
    <s v="FL1430"/>
    <s v="Los Angeles"/>
    <x v="2"/>
    <n v="8"/>
    <x v="0"/>
    <n v="153.759826389034"/>
    <n v="-46.746157778933998"/>
    <n v="2882"/>
    <n v="354"/>
    <n v="125"/>
    <x v="18"/>
  </r>
  <r>
    <s v="FL1431"/>
    <s v="New York"/>
    <x v="1"/>
    <n v="9"/>
    <x v="1"/>
    <n v="-142.05844148118999"/>
    <n v="-72.906250458892202"/>
    <n v="3500"/>
    <n v="450"/>
    <n v="120"/>
    <x v="15"/>
  </r>
  <r>
    <s v="FL1432"/>
    <s v="Houston"/>
    <x v="0"/>
    <n v="10"/>
    <x v="0"/>
    <n v="95.198662107181605"/>
    <n v="-33.3146799739988"/>
    <n v="2550"/>
    <n v="397"/>
    <n v="120"/>
    <x v="0"/>
  </r>
  <r>
    <s v="FL1433"/>
    <s v="Chicago"/>
    <x v="1"/>
    <n v="9"/>
    <x v="0"/>
    <n v="-32.518420784642601"/>
    <n v="-72.603929828204599"/>
    <n v="3500"/>
    <n v="450"/>
    <n v="137"/>
    <x v="17"/>
  </r>
  <r>
    <s v="FL1434"/>
    <s v="Houston"/>
    <x v="0"/>
    <n v="12"/>
    <x v="1"/>
    <n v="55.862537228761703"/>
    <n v="-58.158548851682902"/>
    <n v="3500"/>
    <n v="300"/>
    <n v="120"/>
    <x v="0"/>
  </r>
  <r>
    <s v="FL1435"/>
    <s v="Houston"/>
    <x v="1"/>
    <n v="15"/>
    <x v="0"/>
    <n v="-86.314824725317393"/>
    <n v="87.720508544318307"/>
    <n v="2500"/>
    <n v="450"/>
    <n v="200"/>
    <x v="12"/>
  </r>
  <r>
    <s v="FL1436"/>
    <s v="Los Angeles"/>
    <x v="1"/>
    <n v="8"/>
    <x v="0"/>
    <n v="-122.582785485111"/>
    <n v="-10.061359756808599"/>
    <n v="3000"/>
    <n v="356"/>
    <n v="145"/>
    <x v="4"/>
  </r>
  <r>
    <s v="FL1437"/>
    <s v="Chicago"/>
    <x v="3"/>
    <n v="7"/>
    <x v="1"/>
    <n v="-122.233458862359"/>
    <n v="5.7369179709029803"/>
    <n v="2500"/>
    <n v="300"/>
    <n v="200"/>
    <x v="6"/>
  </r>
  <r>
    <s v="FL1438"/>
    <s v="Houston"/>
    <x v="2"/>
    <n v="7"/>
    <x v="0"/>
    <n v="-154.622899568468"/>
    <n v="67.251335172698802"/>
    <n v="2000"/>
    <n v="300"/>
    <n v="100"/>
    <x v="19"/>
  </r>
  <r>
    <s v="FL1439"/>
    <s v="New York"/>
    <x v="1"/>
    <n v="9"/>
    <x v="0"/>
    <n v="-113.167186235553"/>
    <n v="89.202402088323794"/>
    <n v="2800"/>
    <n v="356"/>
    <n v="120"/>
    <x v="15"/>
  </r>
  <r>
    <s v="FL1440"/>
    <s v="New York"/>
    <x v="1"/>
    <n v="9"/>
    <x v="0"/>
    <n v="59.118978596028597"/>
    <n v="14.8886008820427"/>
    <n v="2800"/>
    <n v="356"/>
    <n v="120"/>
    <x v="15"/>
  </r>
  <r>
    <s v="FL1441"/>
    <s v="Miami"/>
    <x v="4"/>
    <n v="12"/>
    <x v="0"/>
    <n v="137.40862026366301"/>
    <n v="56.2452877879509"/>
    <n v="2500"/>
    <n v="150"/>
    <n v="200"/>
    <x v="21"/>
  </r>
  <r>
    <s v="FL1442"/>
    <s v="Chicago"/>
    <x v="2"/>
    <n v="10"/>
    <x v="0"/>
    <n v="113.085246812818"/>
    <n v="-31.150615619398501"/>
    <n v="2928"/>
    <n v="354"/>
    <n v="121"/>
    <x v="5"/>
  </r>
  <r>
    <s v="FL1443"/>
    <s v="Chicago"/>
    <x v="4"/>
    <n v="7"/>
    <x v="2"/>
    <n v="66.648351554814298"/>
    <n v="-34.966087659487599"/>
    <n v="2000"/>
    <n v="450"/>
    <n v="150"/>
    <x v="9"/>
  </r>
  <r>
    <s v="FL1444"/>
    <s v="Miami"/>
    <x v="2"/>
    <n v="9"/>
    <x v="1"/>
    <n v="-140.24452917200301"/>
    <n v="-17.513330220979199"/>
    <n v="3000"/>
    <n v="354"/>
    <n v="200"/>
    <x v="7"/>
  </r>
  <r>
    <s v="FL1445"/>
    <s v="Houston"/>
    <x v="4"/>
    <n v="8"/>
    <x v="0"/>
    <n v="-75.892519333458097"/>
    <n v="31.051307281256801"/>
    <n v="2500"/>
    <n v="402"/>
    <n v="111"/>
    <x v="11"/>
  </r>
  <r>
    <s v="FL1446"/>
    <s v="Chicago"/>
    <x v="1"/>
    <n v="15"/>
    <x v="1"/>
    <n v="-68.469524883911205"/>
    <n v="32.794504065917799"/>
    <n v="2000"/>
    <n v="150"/>
    <n v="137"/>
    <x v="17"/>
  </r>
  <r>
    <s v="FL1447"/>
    <s v="New York"/>
    <x v="1"/>
    <n v="9"/>
    <x v="0"/>
    <n v="-90.015499296856404"/>
    <n v="-33.256901763098902"/>
    <n v="3500"/>
    <n v="300"/>
    <n v="100"/>
    <x v="15"/>
  </r>
  <r>
    <s v="FL1448"/>
    <s v="New York"/>
    <x v="3"/>
    <n v="9"/>
    <x v="0"/>
    <n v="5.4020374955003101"/>
    <n v="-66.022213655406802"/>
    <n v="2760"/>
    <n v="374"/>
    <n v="107"/>
    <x v="16"/>
  </r>
  <r>
    <s v="FL1449"/>
    <s v="Los Angeles"/>
    <x v="4"/>
    <n v="11"/>
    <x v="0"/>
    <n v="12.7993733566821"/>
    <n v="23.831326163791498"/>
    <n v="2794"/>
    <n v="402"/>
    <n v="113"/>
    <x v="22"/>
  </r>
  <r>
    <s v="FL1450"/>
    <s v="Chicago"/>
    <x v="0"/>
    <n v="8"/>
    <x v="0"/>
    <n v="-51.521048938400298"/>
    <n v="-66.901344806022394"/>
    <n v="2583"/>
    <n v="397"/>
    <n v="133"/>
    <x v="2"/>
  </r>
  <r>
    <s v="FL1451"/>
    <s v="Houston"/>
    <x v="3"/>
    <n v="8"/>
    <x v="0"/>
    <n v="-52.635902854883"/>
    <n v="14.1286514812794"/>
    <n v="2846"/>
    <n v="374"/>
    <n v="138"/>
    <x v="8"/>
  </r>
  <r>
    <s v="FL1452"/>
    <s v="Miami"/>
    <x v="4"/>
    <n v="9"/>
    <x v="0"/>
    <n v="118.280015246189"/>
    <n v="34.8159830501356"/>
    <n v="2500"/>
    <n v="402"/>
    <n v="150"/>
    <x v="21"/>
  </r>
  <r>
    <s v="FL1453"/>
    <s v="Miami"/>
    <x v="4"/>
    <n v="9"/>
    <x v="0"/>
    <n v="104.145425395087"/>
    <n v="36.1100693510013"/>
    <n v="2700"/>
    <n v="402"/>
    <n v="128"/>
    <x v="21"/>
  </r>
  <r>
    <s v="FL1454"/>
    <s v="Houston"/>
    <x v="3"/>
    <n v="9"/>
    <x v="0"/>
    <n v="-69.193500594931606"/>
    <n v="45.624979918727398"/>
    <n v="2846"/>
    <n v="150"/>
    <n v="150"/>
    <x v="8"/>
  </r>
  <r>
    <s v="FL1455"/>
    <s v="Los Angeles"/>
    <x v="1"/>
    <n v="15"/>
    <x v="0"/>
    <n v="148.963839794373"/>
    <n v="67.1146958818196"/>
    <n v="2500"/>
    <n v="300"/>
    <n v="145"/>
    <x v="4"/>
  </r>
  <r>
    <s v="FL1456"/>
    <s v="Miami"/>
    <x v="4"/>
    <n v="9"/>
    <x v="2"/>
    <n v="163.013406120902"/>
    <n v="-7.38144633808702E-3"/>
    <n v="3500"/>
    <n v="402"/>
    <n v="128"/>
    <x v="21"/>
  </r>
  <r>
    <s v="FL1457"/>
    <s v="Chicago"/>
    <x v="1"/>
    <n v="12"/>
    <x v="1"/>
    <n v="-62.372684869185299"/>
    <n v="41.444854115322798"/>
    <n v="3000"/>
    <n v="356"/>
    <n v="50"/>
    <x v="17"/>
  </r>
  <r>
    <s v="FL1458"/>
    <s v="Los Angeles"/>
    <x v="3"/>
    <n v="5"/>
    <x v="0"/>
    <n v="-52.407018434500202"/>
    <n v="21.451092365850599"/>
    <n v="3000"/>
    <n v="600"/>
    <n v="100"/>
    <x v="10"/>
  </r>
  <r>
    <s v="FL1459"/>
    <s v="Chicago"/>
    <x v="1"/>
    <n v="15"/>
    <x v="1"/>
    <n v="2.0282952319051901"/>
    <n v="-56.404810836417099"/>
    <n v="2500"/>
    <n v="150"/>
    <n v="100"/>
    <x v="17"/>
  </r>
  <r>
    <s v="FL1460"/>
    <s v="New York"/>
    <x v="2"/>
    <n v="7"/>
    <x v="0"/>
    <n v="158.80349251212201"/>
    <n v="-85.3758639235065"/>
    <n v="2847"/>
    <n v="450"/>
    <n v="200"/>
    <x v="13"/>
  </r>
  <r>
    <s v="FL1461"/>
    <s v="Los Angeles"/>
    <x v="0"/>
    <n v="7"/>
    <x v="0"/>
    <n v="135.474995931232"/>
    <n v="-38.782550578151898"/>
    <n v="2500"/>
    <n v="150"/>
    <n v="119"/>
    <x v="23"/>
  </r>
  <r>
    <s v="FL1462"/>
    <s v="Miami"/>
    <x v="4"/>
    <n v="9"/>
    <x v="0"/>
    <n v="-143.07553346990801"/>
    <n v="-10.253932859228501"/>
    <n v="2700"/>
    <n v="402"/>
    <n v="128"/>
    <x v="21"/>
  </r>
  <r>
    <s v="FL1463"/>
    <s v="Los Angeles"/>
    <x v="0"/>
    <n v="12"/>
    <x v="0"/>
    <n v="-38.616932422290198"/>
    <n v="21.079069997158101"/>
    <n v="3500"/>
    <n v="300"/>
    <n v="150"/>
    <x v="23"/>
  </r>
  <r>
    <s v="FL1464"/>
    <s v="Los Angeles"/>
    <x v="1"/>
    <n v="8"/>
    <x v="0"/>
    <n v="19.213628309917901"/>
    <n v="62.992679490576997"/>
    <n v="3000"/>
    <n v="356"/>
    <n v="145"/>
    <x v="4"/>
  </r>
  <r>
    <s v="FL1465"/>
    <s v="Los Angeles"/>
    <x v="4"/>
    <n v="11"/>
    <x v="0"/>
    <n v="1.1276901185544299"/>
    <n v="-54.6757709928902"/>
    <n v="2794"/>
    <n v="402"/>
    <n v="113"/>
    <x v="22"/>
  </r>
  <r>
    <s v="FL1466"/>
    <s v="Los Angeles"/>
    <x v="1"/>
    <n v="5"/>
    <x v="0"/>
    <n v="-110.209295542719"/>
    <n v="-67.401037818274105"/>
    <n v="3500"/>
    <n v="300"/>
    <n v="150"/>
    <x v="4"/>
  </r>
  <r>
    <s v="FL1467"/>
    <s v="Chicago"/>
    <x v="2"/>
    <n v="12"/>
    <x v="2"/>
    <n v="129.17403762053601"/>
    <n v="83.426390545378993"/>
    <n v="2000"/>
    <n v="354"/>
    <n v="100"/>
    <x v="5"/>
  </r>
  <r>
    <s v="FL1468"/>
    <s v="New York"/>
    <x v="3"/>
    <n v="9"/>
    <x v="0"/>
    <n v="63.6986818788614"/>
    <n v="-70.551979312246701"/>
    <n v="2760"/>
    <n v="374"/>
    <n v="107"/>
    <x v="16"/>
  </r>
  <r>
    <s v="FL1469"/>
    <s v="Houston"/>
    <x v="4"/>
    <n v="7"/>
    <x v="1"/>
    <n v="121.64701494664899"/>
    <n v="-3.8716073807059499"/>
    <n v="2500"/>
    <n v="300"/>
    <n v="100"/>
    <x v="11"/>
  </r>
  <r>
    <s v="FL1470"/>
    <s v="Los Angeles"/>
    <x v="2"/>
    <n v="7"/>
    <x v="0"/>
    <n v="129.15514056581"/>
    <n v="15.4014711827943"/>
    <n v="2500"/>
    <n v="150"/>
    <n v="100"/>
    <x v="18"/>
  </r>
  <r>
    <s v="FL1471"/>
    <s v="Miami"/>
    <x v="2"/>
    <n v="9"/>
    <x v="1"/>
    <n v="89.4081073196663"/>
    <n v="7.4473957633388901"/>
    <n v="2500"/>
    <n v="150"/>
    <n v="100"/>
    <x v="7"/>
  </r>
  <r>
    <s v="FL1472"/>
    <s v="Los Angeles"/>
    <x v="4"/>
    <n v="5"/>
    <x v="0"/>
    <n v="-21.884183550101799"/>
    <n v="-74.514211734070201"/>
    <n v="3500"/>
    <n v="300"/>
    <n v="150"/>
    <x v="22"/>
  </r>
  <r>
    <s v="FL1473"/>
    <s v="Miami"/>
    <x v="1"/>
    <n v="7"/>
    <x v="2"/>
    <n v="39.796831805552799"/>
    <n v="-79.735155479348506"/>
    <n v="2000"/>
    <n v="150"/>
    <n v="50"/>
    <x v="3"/>
  </r>
  <r>
    <s v="FL1474"/>
    <s v="Chicago"/>
    <x v="2"/>
    <n v="15"/>
    <x v="1"/>
    <n v="-122.268453796893"/>
    <n v="-71.012983057013599"/>
    <n v="2928"/>
    <n v="300"/>
    <n v="121"/>
    <x v="5"/>
  </r>
  <r>
    <s v="FL1475"/>
    <s v="Miami"/>
    <x v="0"/>
    <n v="9"/>
    <x v="2"/>
    <n v="62.512350290966801"/>
    <n v="15.4057830970703"/>
    <n v="2000"/>
    <n v="300"/>
    <n v="100"/>
    <x v="1"/>
  </r>
  <r>
    <s v="FL1476"/>
    <s v="Houston"/>
    <x v="2"/>
    <n v="9"/>
    <x v="0"/>
    <n v="-115.468827933859"/>
    <n v="7.98207977417779"/>
    <n v="3500"/>
    <n v="300"/>
    <n v="100"/>
    <x v="19"/>
  </r>
  <r>
    <s v="FL1477"/>
    <s v="New York"/>
    <x v="1"/>
    <n v="9"/>
    <x v="0"/>
    <n v="69.821852583656494"/>
    <n v="-47.926657433385998"/>
    <n v="2800"/>
    <n v="356"/>
    <n v="120"/>
    <x v="15"/>
  </r>
  <r>
    <s v="FL1478"/>
    <s v="Miami"/>
    <x v="1"/>
    <n v="10"/>
    <x v="0"/>
    <n v="-97.344662128571301"/>
    <n v="24.799345532206502"/>
    <n v="2931"/>
    <n v="356"/>
    <n v="105"/>
    <x v="3"/>
  </r>
  <r>
    <s v="FL1479"/>
    <s v="Miami"/>
    <x v="0"/>
    <n v="9"/>
    <x v="0"/>
    <n v="-137.68153194592099"/>
    <n v="57.612150370016899"/>
    <n v="2729"/>
    <n v="397"/>
    <n v="126"/>
    <x v="1"/>
  </r>
  <r>
    <s v="FL1480"/>
    <s v="New York"/>
    <x v="2"/>
    <n v="15"/>
    <x v="0"/>
    <n v="-120.497583548535"/>
    <n v="-82.515787227613103"/>
    <n v="2847"/>
    <n v="300"/>
    <n v="150"/>
    <x v="13"/>
  </r>
  <r>
    <s v="FL1481"/>
    <s v="Houston"/>
    <x v="1"/>
    <n v="9"/>
    <x v="0"/>
    <n v="-179.28283132113501"/>
    <n v="-0.33661016135236799"/>
    <n v="2500"/>
    <n v="356"/>
    <n v="127"/>
    <x v="12"/>
  </r>
  <r>
    <s v="FL1482"/>
    <s v="Los Angeles"/>
    <x v="4"/>
    <n v="11"/>
    <x v="0"/>
    <n v="78.746262427270906"/>
    <n v="34.075874178484298"/>
    <n v="2794"/>
    <n v="402"/>
    <n v="113"/>
    <x v="22"/>
  </r>
  <r>
    <s v="FL1483"/>
    <s v="Miami"/>
    <x v="3"/>
    <n v="12"/>
    <x v="1"/>
    <n v="83.664377661016502"/>
    <n v="-44.583853127456301"/>
    <n v="3000"/>
    <n v="300"/>
    <n v="50"/>
    <x v="14"/>
  </r>
  <r>
    <s v="FL1484"/>
    <s v="New York"/>
    <x v="3"/>
    <n v="9"/>
    <x v="0"/>
    <n v="5.3760059687734003"/>
    <n v="-34.601237047233198"/>
    <n v="2000"/>
    <n v="300"/>
    <n v="50"/>
    <x v="16"/>
  </r>
  <r>
    <s v="FL1485"/>
    <s v="Chicago"/>
    <x v="3"/>
    <n v="9"/>
    <x v="0"/>
    <n v="-121.909391620062"/>
    <n v="20.4548225380891"/>
    <n v="2678"/>
    <n v="374"/>
    <n v="116"/>
    <x v="6"/>
  </r>
  <r>
    <s v="FL1486"/>
    <s v="New York"/>
    <x v="2"/>
    <n v="9"/>
    <x v="0"/>
    <n v="-149.920438496152"/>
    <n v="71.628352819872603"/>
    <n v="2847"/>
    <n v="354"/>
    <n v="122"/>
    <x v="13"/>
  </r>
  <r>
    <s v="FL1487"/>
    <s v="Chicago"/>
    <x v="0"/>
    <n v="7"/>
    <x v="0"/>
    <n v="-173.11357208257701"/>
    <n v="55.786395654521897"/>
    <n v="2583"/>
    <n v="450"/>
    <n v="133"/>
    <x v="2"/>
  </r>
  <r>
    <s v="FL1488"/>
    <s v="Houston"/>
    <x v="1"/>
    <n v="9"/>
    <x v="0"/>
    <n v="-120.330656292521"/>
    <n v="14.963439437925"/>
    <n v="2000"/>
    <n v="300"/>
    <n v="150"/>
    <x v="12"/>
  </r>
  <r>
    <s v="FL1489"/>
    <s v="Los Angeles"/>
    <x v="4"/>
    <n v="12"/>
    <x v="0"/>
    <n v="140.707992593933"/>
    <n v="41.439909196304903"/>
    <n v="2500"/>
    <n v="150"/>
    <n v="200"/>
    <x v="22"/>
  </r>
  <r>
    <s v="FL1490"/>
    <s v="New York"/>
    <x v="4"/>
    <n v="11"/>
    <x v="0"/>
    <n v="-93.046736987394596"/>
    <n v="-24.331955362596201"/>
    <n v="2588"/>
    <n v="402"/>
    <n v="134"/>
    <x v="20"/>
  </r>
  <r>
    <s v="FL1491"/>
    <s v="Miami"/>
    <x v="2"/>
    <n v="8"/>
    <x v="2"/>
    <n v="-52.462322201802401"/>
    <n v="25.373795057776402"/>
    <n v="2718"/>
    <n v="354"/>
    <n v="115"/>
    <x v="7"/>
  </r>
  <r>
    <s v="FL1492"/>
    <s v="Houston"/>
    <x v="3"/>
    <n v="8"/>
    <x v="0"/>
    <n v="-142.07562558672001"/>
    <n v="-6.0873135970397403"/>
    <n v="2500"/>
    <n v="150"/>
    <n v="200"/>
    <x v="8"/>
  </r>
  <r>
    <s v="FL1493"/>
    <s v="New York"/>
    <x v="2"/>
    <n v="9"/>
    <x v="0"/>
    <n v="-99.949930290658699"/>
    <n v="-55.811495437639003"/>
    <n v="2847"/>
    <n v="354"/>
    <n v="122"/>
    <x v="13"/>
  </r>
  <r>
    <s v="FL1494"/>
    <s v="Miami"/>
    <x v="0"/>
    <n v="9"/>
    <x v="0"/>
    <n v="6.92084548087385"/>
    <n v="36.312889297906302"/>
    <n v="2729"/>
    <n v="397"/>
    <n v="126"/>
    <x v="1"/>
  </r>
  <r>
    <s v="FL1495"/>
    <s v="New York"/>
    <x v="0"/>
    <n v="9"/>
    <x v="0"/>
    <n v="38.790965914434899"/>
    <n v="10.163634722788"/>
    <n v="2954"/>
    <n v="397"/>
    <n v="128"/>
    <x v="24"/>
  </r>
  <r>
    <s v="FL1496"/>
    <s v="Chicago"/>
    <x v="1"/>
    <n v="5"/>
    <x v="1"/>
    <n v="-91.673166900164006"/>
    <n v="-25.448115248353499"/>
    <n v="3000"/>
    <n v="150"/>
    <n v="200"/>
    <x v="17"/>
  </r>
  <r>
    <s v="FL1497"/>
    <s v="New York"/>
    <x v="1"/>
    <n v="12"/>
    <x v="2"/>
    <n v="-159.216422678958"/>
    <n v="74.041054214153505"/>
    <n v="2500"/>
    <n v="600"/>
    <n v="100"/>
    <x v="15"/>
  </r>
  <r>
    <s v="FL1498"/>
    <s v="New York"/>
    <x v="0"/>
    <n v="9"/>
    <x v="0"/>
    <n v="-39.228167114136497"/>
    <n v="-86.231858791188003"/>
    <n v="3000"/>
    <n v="300"/>
    <n v="150"/>
    <x v="24"/>
  </r>
  <r>
    <s v="FL1499"/>
    <s v="New York"/>
    <x v="0"/>
    <n v="9"/>
    <x v="0"/>
    <n v="-95.686786466519706"/>
    <n v="-33.160832775090697"/>
    <n v="2954"/>
    <n v="397"/>
    <n v="128"/>
    <x v="24"/>
  </r>
  <r>
    <s v="FL1500"/>
    <s v="Houston"/>
    <x v="0"/>
    <n v="10"/>
    <x v="0"/>
    <n v="-100.960587637271"/>
    <n v="-79.761348400023607"/>
    <n v="2550"/>
    <n v="397"/>
    <n v="120"/>
    <x v="0"/>
  </r>
  <r>
    <s v="FL1501"/>
    <s v="New York"/>
    <x v="2"/>
    <n v="9"/>
    <x v="0"/>
    <n v="165.55060897684399"/>
    <n v="47.974916919892898"/>
    <n v="2847"/>
    <n v="354"/>
    <n v="122"/>
    <x v="13"/>
  </r>
  <r>
    <s v="FL1502"/>
    <s v="Miami"/>
    <x v="0"/>
    <n v="15"/>
    <x v="0"/>
    <n v="41.868174933260697"/>
    <n v="36.379341740482701"/>
    <n v="2500"/>
    <n v="450"/>
    <n v="50"/>
    <x v="1"/>
  </r>
  <r>
    <s v="FL1503"/>
    <s v="Chicago"/>
    <x v="4"/>
    <n v="7"/>
    <x v="2"/>
    <n v="20.476239541954499"/>
    <n v="-30.3566006274629"/>
    <n v="3000"/>
    <n v="300"/>
    <n v="150"/>
    <x v="9"/>
  </r>
  <r>
    <s v="FL1504"/>
    <s v="Chicago"/>
    <x v="3"/>
    <n v="12"/>
    <x v="1"/>
    <n v="-30.320962731604101"/>
    <n v="31.619322397273201"/>
    <n v="3500"/>
    <n v="300"/>
    <n v="116"/>
    <x v="6"/>
  </r>
  <r>
    <s v="FL1505"/>
    <s v="New York"/>
    <x v="0"/>
    <n v="15"/>
    <x v="1"/>
    <n v="-25.580039965148099"/>
    <n v="-18.731299284729001"/>
    <n v="3500"/>
    <n v="450"/>
    <n v="150"/>
    <x v="24"/>
  </r>
  <r>
    <s v="FL1506"/>
    <s v="Houston"/>
    <x v="3"/>
    <n v="8"/>
    <x v="0"/>
    <n v="14.7258013817091"/>
    <n v="46.125682456038199"/>
    <n v="2846"/>
    <n v="374"/>
    <n v="138"/>
    <x v="8"/>
  </r>
  <r>
    <s v="FL1507"/>
    <s v="Houston"/>
    <x v="2"/>
    <n v="12"/>
    <x v="0"/>
    <n v="70.714730532998601"/>
    <n v="-8.2469407073929109"/>
    <n v="2647"/>
    <n v="300"/>
    <n v="113"/>
    <x v="19"/>
  </r>
  <r>
    <s v="FL1508"/>
    <s v="Miami"/>
    <x v="3"/>
    <n v="7"/>
    <x v="2"/>
    <n v="72.772594625458595"/>
    <n v="-15.789648990300201"/>
    <n v="2615"/>
    <n v="450"/>
    <n v="50"/>
    <x v="14"/>
  </r>
  <r>
    <s v="FL1509"/>
    <s v="New York"/>
    <x v="2"/>
    <n v="9"/>
    <x v="1"/>
    <n v="-118.19019322603801"/>
    <n v="78.251384787894196"/>
    <n v="3500"/>
    <n v="150"/>
    <n v="100"/>
    <x v="13"/>
  </r>
  <r>
    <s v="FL1510"/>
    <s v="Chicago"/>
    <x v="4"/>
    <n v="9"/>
    <x v="0"/>
    <n v="4.0590747585724798E-2"/>
    <n v="-44.841762019674"/>
    <n v="2500"/>
    <n v="450"/>
    <n v="114"/>
    <x v="9"/>
  </r>
  <r>
    <s v="FL1511"/>
    <s v="Houston"/>
    <x v="2"/>
    <n v="7"/>
    <x v="2"/>
    <n v="-31.695085787723301"/>
    <n v="-68.319478800618199"/>
    <n v="2647"/>
    <n v="450"/>
    <n v="113"/>
    <x v="19"/>
  </r>
  <r>
    <s v="FL1512"/>
    <s v="New York"/>
    <x v="2"/>
    <n v="15"/>
    <x v="0"/>
    <n v="133.38970785697799"/>
    <n v="15.2177603867025"/>
    <n v="2500"/>
    <n v="300"/>
    <n v="50"/>
    <x v="13"/>
  </r>
  <r>
    <s v="FL1513"/>
    <s v="Houston"/>
    <x v="1"/>
    <n v="9"/>
    <x v="0"/>
    <n v="47.310811638615498"/>
    <n v="84.477926211152194"/>
    <n v="2500"/>
    <n v="356"/>
    <n v="127"/>
    <x v="12"/>
  </r>
  <r>
    <s v="FL1514"/>
    <s v="Houston"/>
    <x v="0"/>
    <n v="10"/>
    <x v="0"/>
    <n v="11.7014639097534"/>
    <n v="-21.988941529106398"/>
    <n v="2550"/>
    <n v="397"/>
    <n v="120"/>
    <x v="0"/>
  </r>
  <r>
    <s v="FL1515"/>
    <s v="Chicago"/>
    <x v="0"/>
    <n v="8"/>
    <x v="1"/>
    <n v="-138.45792881559001"/>
    <n v="-78.833382546819294"/>
    <n v="3500"/>
    <n v="600"/>
    <n v="200"/>
    <x v="2"/>
  </r>
  <r>
    <s v="FL1516"/>
    <s v="Los Angeles"/>
    <x v="4"/>
    <n v="15"/>
    <x v="1"/>
    <n v="38.029640156428101"/>
    <n v="-28.925051884277899"/>
    <n v="2000"/>
    <n v="402"/>
    <n v="100"/>
    <x v="22"/>
  </r>
  <r>
    <s v="FL1517"/>
    <s v="Miami"/>
    <x v="4"/>
    <n v="7"/>
    <x v="0"/>
    <n v="-137.806593955116"/>
    <n v="1.0676977775205201"/>
    <n v="2700"/>
    <n v="450"/>
    <n v="150"/>
    <x v="21"/>
  </r>
  <r>
    <s v="FL1518"/>
    <s v="Miami"/>
    <x v="0"/>
    <n v="9"/>
    <x v="0"/>
    <n v="-58.605632796329303"/>
    <n v="-60.853858806201501"/>
    <n v="2729"/>
    <n v="450"/>
    <n v="50"/>
    <x v="1"/>
  </r>
  <r>
    <s v="FL1519"/>
    <s v="Chicago"/>
    <x v="1"/>
    <n v="9"/>
    <x v="0"/>
    <n v="-128.57689266684099"/>
    <n v="28.458399250168601"/>
    <n v="2678"/>
    <n v="356"/>
    <n v="137"/>
    <x v="17"/>
  </r>
  <r>
    <s v="FL1520"/>
    <s v="Houston"/>
    <x v="0"/>
    <n v="12"/>
    <x v="2"/>
    <n v="69.146512928772793"/>
    <n v="89.594890021836093"/>
    <n v="3000"/>
    <n v="600"/>
    <n v="200"/>
    <x v="0"/>
  </r>
  <r>
    <s v="FL1521"/>
    <s v="New York"/>
    <x v="1"/>
    <n v="9"/>
    <x v="0"/>
    <n v="-105.74923901898499"/>
    <n v="-8.6868943233401108"/>
    <n v="2800"/>
    <n v="356"/>
    <n v="120"/>
    <x v="15"/>
  </r>
  <r>
    <s v="FL1522"/>
    <s v="Houston"/>
    <x v="4"/>
    <n v="8"/>
    <x v="0"/>
    <n v="-38.930625652310702"/>
    <n v="-26.148859788561701"/>
    <n v="2500"/>
    <n v="402"/>
    <n v="111"/>
    <x v="11"/>
  </r>
  <r>
    <s v="FL1523"/>
    <s v="Chicago"/>
    <x v="3"/>
    <n v="9"/>
    <x v="0"/>
    <n v="142.44291994276"/>
    <n v="-17.873249969795999"/>
    <n v="2678"/>
    <n v="374"/>
    <n v="116"/>
    <x v="6"/>
  </r>
  <r>
    <s v="FL1524"/>
    <s v="Miami"/>
    <x v="4"/>
    <n v="12"/>
    <x v="2"/>
    <n v="-106.446101976371"/>
    <n v="-69.273687888863805"/>
    <n v="2000"/>
    <n v="600"/>
    <n v="50"/>
    <x v="21"/>
  </r>
  <r>
    <s v="FL1525"/>
    <s v="Houston"/>
    <x v="4"/>
    <n v="5"/>
    <x v="1"/>
    <n v="2.8098230251604801"/>
    <n v="68.989248256720302"/>
    <n v="2500"/>
    <n v="402"/>
    <n v="111"/>
    <x v="11"/>
  </r>
  <r>
    <s v="FL1526"/>
    <s v="Miami"/>
    <x v="2"/>
    <n v="8"/>
    <x v="0"/>
    <n v="-29.0622019802321"/>
    <n v="-15.3313820061566"/>
    <n v="2718"/>
    <n v="354"/>
    <n v="115"/>
    <x v="7"/>
  </r>
  <r>
    <s v="FL1527"/>
    <s v="New York"/>
    <x v="2"/>
    <n v="9"/>
    <x v="0"/>
    <n v="-173.475345223537"/>
    <n v="-20.2906059435286"/>
    <n v="2847"/>
    <n v="354"/>
    <n v="122"/>
    <x v="13"/>
  </r>
  <r>
    <s v="FL1528"/>
    <s v="Miami"/>
    <x v="2"/>
    <n v="8"/>
    <x v="0"/>
    <n v="105.39292088621301"/>
    <n v="28.7442491274854"/>
    <n v="2718"/>
    <n v="354"/>
    <n v="115"/>
    <x v="7"/>
  </r>
  <r>
    <s v="FL1529"/>
    <s v="Miami"/>
    <x v="2"/>
    <n v="8"/>
    <x v="0"/>
    <n v="-155.14347372674399"/>
    <n v="-10.433984232397799"/>
    <n v="2718"/>
    <n v="354"/>
    <n v="115"/>
    <x v="7"/>
  </r>
  <r>
    <s v="FL1530"/>
    <s v="Los Angeles"/>
    <x v="1"/>
    <n v="8"/>
    <x v="0"/>
    <n v="-9.2681924482967002"/>
    <n v="26.682024385412301"/>
    <n v="3000"/>
    <n v="356"/>
    <n v="145"/>
    <x v="4"/>
  </r>
  <r>
    <s v="FL1531"/>
    <s v="Los Angeles"/>
    <x v="0"/>
    <n v="7"/>
    <x v="1"/>
    <n v="21.844186178021999"/>
    <n v="-78.939667776458293"/>
    <n v="2586"/>
    <n v="397"/>
    <n v="100"/>
    <x v="23"/>
  </r>
  <r>
    <s v="FL1532"/>
    <s v="Los Angeles"/>
    <x v="3"/>
    <n v="8"/>
    <x v="0"/>
    <n v="46.233524381251399"/>
    <n v="56.470201870000899"/>
    <n v="2760"/>
    <n v="374"/>
    <n v="131"/>
    <x v="10"/>
  </r>
  <r>
    <s v="FL1533"/>
    <s v="Miami"/>
    <x v="4"/>
    <n v="12"/>
    <x v="1"/>
    <n v="67.907386550835199"/>
    <n v="79.290711518292497"/>
    <n v="3500"/>
    <n v="450"/>
    <n v="50"/>
    <x v="21"/>
  </r>
  <r>
    <s v="FL1534"/>
    <s v="Chicago"/>
    <x v="1"/>
    <n v="9"/>
    <x v="0"/>
    <n v="-88.821941931822593"/>
    <n v="26.777769508689499"/>
    <n v="2678"/>
    <n v="356"/>
    <n v="137"/>
    <x v="17"/>
  </r>
  <r>
    <s v="FL1535"/>
    <s v="Miami"/>
    <x v="3"/>
    <n v="8"/>
    <x v="0"/>
    <n v="-176.40764040295801"/>
    <n v="81.821867194585906"/>
    <n v="2615"/>
    <n v="374"/>
    <n v="121"/>
    <x v="14"/>
  </r>
  <r>
    <s v="FL1536"/>
    <s v="Chicago"/>
    <x v="1"/>
    <n v="9"/>
    <x v="0"/>
    <n v="80.4397184477683"/>
    <n v="-62.7421834134066"/>
    <n v="2678"/>
    <n v="356"/>
    <n v="137"/>
    <x v="17"/>
  </r>
  <r>
    <s v="FL1537"/>
    <s v="Chicago"/>
    <x v="1"/>
    <n v="7"/>
    <x v="1"/>
    <n v="12.836375765128301"/>
    <n v="-4.0650858935363399"/>
    <n v="2678"/>
    <n v="356"/>
    <n v="137"/>
    <x v="17"/>
  </r>
  <r>
    <s v="FL1538"/>
    <s v="Los Angeles"/>
    <x v="4"/>
    <n v="9"/>
    <x v="0"/>
    <n v="121.00237315461"/>
    <n v="18.325212110180502"/>
    <n v="2794"/>
    <n v="450"/>
    <n v="100"/>
    <x v="22"/>
  </r>
  <r>
    <s v="FL1539"/>
    <s v="Houston"/>
    <x v="0"/>
    <n v="12"/>
    <x v="0"/>
    <n v="115.69981064424999"/>
    <n v="14.712596535813599"/>
    <n v="2550"/>
    <n v="600"/>
    <n v="50"/>
    <x v="0"/>
  </r>
  <r>
    <s v="FL1540"/>
    <s v="New York"/>
    <x v="2"/>
    <n v="12"/>
    <x v="0"/>
    <n v="123.597420403638"/>
    <n v="-17.736879763972201"/>
    <n v="2847"/>
    <n v="300"/>
    <n v="100"/>
    <x v="13"/>
  </r>
  <r>
    <s v="FL1541"/>
    <s v="Los Angeles"/>
    <x v="0"/>
    <n v="10"/>
    <x v="0"/>
    <n v="-5.3659224073655301"/>
    <n v="-29.144806314073001"/>
    <n v="2586"/>
    <n v="397"/>
    <n v="119"/>
    <x v="23"/>
  </r>
  <r>
    <s v="FL1542"/>
    <s v="Los Angeles"/>
    <x v="4"/>
    <n v="11"/>
    <x v="0"/>
    <n v="-59.893777498728397"/>
    <n v="-67.171675940924601"/>
    <n v="2794"/>
    <n v="402"/>
    <n v="113"/>
    <x v="22"/>
  </r>
  <r>
    <s v="FL1543"/>
    <s v="Houston"/>
    <x v="4"/>
    <n v="8"/>
    <x v="0"/>
    <n v="104.96095293289299"/>
    <n v="-19.486358898789899"/>
    <n v="2500"/>
    <n v="402"/>
    <n v="111"/>
    <x v="11"/>
  </r>
  <r>
    <s v="FL1544"/>
    <s v="New York"/>
    <x v="4"/>
    <n v="11"/>
    <x v="0"/>
    <n v="-17.534119309468199"/>
    <n v="-60.721053281012701"/>
    <n v="2588"/>
    <n v="402"/>
    <n v="134"/>
    <x v="20"/>
  </r>
  <r>
    <s v="FL1545"/>
    <s v="Miami"/>
    <x v="3"/>
    <n v="8"/>
    <x v="0"/>
    <n v="-113.960809294764"/>
    <n v="42.185821768599297"/>
    <n v="2615"/>
    <n v="450"/>
    <n v="50"/>
    <x v="14"/>
  </r>
  <r>
    <s v="FL1546"/>
    <s v="Miami"/>
    <x v="0"/>
    <n v="15"/>
    <x v="0"/>
    <n v="127.790647042131"/>
    <n v="-52.410431610973802"/>
    <n v="3000"/>
    <n v="300"/>
    <n v="126"/>
    <x v="1"/>
  </r>
  <r>
    <s v="FL1547"/>
    <s v="Los Angeles"/>
    <x v="0"/>
    <n v="10"/>
    <x v="0"/>
    <n v="137.721555638045"/>
    <n v="-79.458245048783894"/>
    <n v="2586"/>
    <n v="397"/>
    <n v="119"/>
    <x v="23"/>
  </r>
  <r>
    <s v="FL1548"/>
    <s v="New York"/>
    <x v="1"/>
    <n v="9"/>
    <x v="0"/>
    <n v="-12.1284877895388"/>
    <n v="9.4259048071021692"/>
    <n v="2800"/>
    <n v="356"/>
    <n v="120"/>
    <x v="15"/>
  </r>
  <r>
    <s v="FL1549"/>
    <s v="Los Angeles"/>
    <x v="1"/>
    <n v="8"/>
    <x v="0"/>
    <n v="-152.74809816847699"/>
    <n v="17.141351889492299"/>
    <n v="3000"/>
    <n v="356"/>
    <n v="145"/>
    <x v="4"/>
  </r>
  <r>
    <s v="FL1550"/>
    <s v="Chicago"/>
    <x v="1"/>
    <n v="9"/>
    <x v="2"/>
    <n v="-40.382607629904697"/>
    <n v="66.944351030491006"/>
    <n v="2500"/>
    <n v="356"/>
    <n v="200"/>
    <x v="17"/>
  </r>
  <r>
    <s v="FL1551"/>
    <s v="Los Angeles"/>
    <x v="4"/>
    <n v="15"/>
    <x v="1"/>
    <n v="109.27355740653699"/>
    <n v="13.8566902351827"/>
    <n v="2000"/>
    <n v="450"/>
    <n v="50"/>
    <x v="22"/>
  </r>
  <r>
    <s v="FL1552"/>
    <s v="Los Angeles"/>
    <x v="0"/>
    <n v="10"/>
    <x v="0"/>
    <n v="144.63865027664201"/>
    <n v="-27.813446329779801"/>
    <n v="2586"/>
    <n v="397"/>
    <n v="119"/>
    <x v="23"/>
  </r>
  <r>
    <s v="FL1553"/>
    <s v="Miami"/>
    <x v="4"/>
    <n v="9"/>
    <x v="0"/>
    <n v="-106.749812700866"/>
    <n v="54.5421386747377"/>
    <n v="3500"/>
    <n v="150"/>
    <n v="50"/>
    <x v="21"/>
  </r>
  <r>
    <s v="FL1554"/>
    <s v="Miami"/>
    <x v="3"/>
    <n v="8"/>
    <x v="0"/>
    <n v="-155.88949967090201"/>
    <n v="7.2502007737357799"/>
    <n v="2615"/>
    <n v="374"/>
    <n v="121"/>
    <x v="14"/>
  </r>
  <r>
    <s v="FL1555"/>
    <s v="Miami"/>
    <x v="1"/>
    <n v="12"/>
    <x v="1"/>
    <n v="135.846163127822"/>
    <n v="-75.729548766385506"/>
    <n v="2931"/>
    <n v="356"/>
    <n v="50"/>
    <x v="3"/>
  </r>
  <r>
    <s v="FL1556"/>
    <s v="Chicago"/>
    <x v="4"/>
    <n v="10"/>
    <x v="2"/>
    <n v="-39.814221967604901"/>
    <n v="11.853100856384399"/>
    <n v="2000"/>
    <n v="450"/>
    <n v="200"/>
    <x v="9"/>
  </r>
  <r>
    <s v="FL1557"/>
    <s v="Miami"/>
    <x v="4"/>
    <n v="9"/>
    <x v="0"/>
    <n v="15.0339471363228"/>
    <n v="73.4433381758992"/>
    <n v="2700"/>
    <n v="402"/>
    <n v="128"/>
    <x v="21"/>
  </r>
  <r>
    <s v="FL1558"/>
    <s v="New York"/>
    <x v="3"/>
    <n v="5"/>
    <x v="1"/>
    <n v="168.503692338273"/>
    <n v="-18.663727410320298"/>
    <n v="2000"/>
    <n v="300"/>
    <n v="50"/>
    <x v="16"/>
  </r>
  <r>
    <s v="FL1559"/>
    <s v="Houston"/>
    <x v="2"/>
    <n v="9"/>
    <x v="0"/>
    <n v="-156.03669795088001"/>
    <n v="-36.661355658036001"/>
    <n v="2647"/>
    <n v="354"/>
    <n v="113"/>
    <x v="19"/>
  </r>
  <r>
    <s v="FL1560"/>
    <s v="New York"/>
    <x v="0"/>
    <n v="12"/>
    <x v="0"/>
    <n v="53.394482682754401"/>
    <n v="-64.175497736756398"/>
    <n v="2954"/>
    <n v="397"/>
    <n v="150"/>
    <x v="24"/>
  </r>
  <r>
    <s v="FL1561"/>
    <s v="New York"/>
    <x v="2"/>
    <n v="5"/>
    <x v="2"/>
    <n v="-153.32204787304801"/>
    <n v="-62.739806051635703"/>
    <n v="3500"/>
    <n v="150"/>
    <n v="200"/>
    <x v="13"/>
  </r>
  <r>
    <s v="FL1562"/>
    <s v="Miami"/>
    <x v="1"/>
    <n v="9"/>
    <x v="0"/>
    <n v="-44.831185752059902"/>
    <n v="-12.1011328184726"/>
    <n v="3500"/>
    <n v="150"/>
    <n v="105"/>
    <x v="3"/>
  </r>
  <r>
    <s v="FL1563"/>
    <s v="Houston"/>
    <x v="4"/>
    <n v="12"/>
    <x v="2"/>
    <n v="109.373236269641"/>
    <n v="17.2223683490753"/>
    <n v="3000"/>
    <n v="402"/>
    <n v="100"/>
    <x v="11"/>
  </r>
  <r>
    <s v="FL1564"/>
    <s v="Houston"/>
    <x v="3"/>
    <n v="9"/>
    <x v="0"/>
    <n v="-23.949996207971601"/>
    <n v="-75.489227069471696"/>
    <n v="2846"/>
    <n v="450"/>
    <n v="50"/>
    <x v="8"/>
  </r>
  <r>
    <s v="FL1565"/>
    <s v="Houston"/>
    <x v="3"/>
    <n v="9"/>
    <x v="2"/>
    <n v="178.985647405062"/>
    <n v="79.122346024529804"/>
    <n v="2500"/>
    <n v="300"/>
    <n v="138"/>
    <x v="8"/>
  </r>
  <r>
    <s v="FL1566"/>
    <s v="Chicago"/>
    <x v="0"/>
    <n v="5"/>
    <x v="1"/>
    <n v="21.261342580776802"/>
    <n v="45.924051140135298"/>
    <n v="2500"/>
    <n v="450"/>
    <n v="100"/>
    <x v="2"/>
  </r>
  <r>
    <s v="FL1567"/>
    <s v="Miami"/>
    <x v="2"/>
    <n v="8"/>
    <x v="0"/>
    <n v="-64.381625051056702"/>
    <n v="15.592305291059301"/>
    <n v="2718"/>
    <n v="354"/>
    <n v="115"/>
    <x v="7"/>
  </r>
  <r>
    <s v="FL1568"/>
    <s v="Houston"/>
    <x v="0"/>
    <n v="10"/>
    <x v="2"/>
    <n v="-100.759922674289"/>
    <n v="59.118960769018301"/>
    <n v="2500"/>
    <n v="600"/>
    <n v="200"/>
    <x v="0"/>
  </r>
  <r>
    <s v="FL1569"/>
    <s v="Chicago"/>
    <x v="4"/>
    <n v="15"/>
    <x v="2"/>
    <n v="-53.812607656981697"/>
    <n v="-75.566383773819595"/>
    <n v="2636"/>
    <n v="600"/>
    <n v="114"/>
    <x v="9"/>
  </r>
  <r>
    <s v="FL1570"/>
    <s v="Los Angeles"/>
    <x v="0"/>
    <n v="10"/>
    <x v="0"/>
    <n v="-45.888021446561702"/>
    <n v="-4.1690020080376096"/>
    <n v="2586"/>
    <n v="397"/>
    <n v="119"/>
    <x v="23"/>
  </r>
  <r>
    <s v="FL1571"/>
    <s v="Los Angeles"/>
    <x v="3"/>
    <n v="5"/>
    <x v="0"/>
    <n v="-155.26307601937401"/>
    <n v="23.416762835099401"/>
    <n v="3000"/>
    <n v="150"/>
    <n v="200"/>
    <x v="10"/>
  </r>
  <r>
    <s v="FL1572"/>
    <s v="Chicago"/>
    <x v="3"/>
    <n v="9"/>
    <x v="2"/>
    <n v="-46.953288206361698"/>
    <n v="59.157523101292099"/>
    <n v="2500"/>
    <n v="450"/>
    <n v="116"/>
    <x v="6"/>
  </r>
  <r>
    <s v="FL1573"/>
    <s v="Chicago"/>
    <x v="1"/>
    <n v="12"/>
    <x v="0"/>
    <n v="-12.874132893879001"/>
    <n v="51.024520808868203"/>
    <n v="3500"/>
    <n v="300"/>
    <n v="200"/>
    <x v="17"/>
  </r>
  <r>
    <s v="FL1574"/>
    <s v="Miami"/>
    <x v="1"/>
    <n v="12"/>
    <x v="0"/>
    <n v="80.185590805969696"/>
    <n v="-40.127535051588097"/>
    <n v="2931"/>
    <n v="600"/>
    <n v="200"/>
    <x v="3"/>
  </r>
  <r>
    <s v="FL1575"/>
    <s v="Miami"/>
    <x v="4"/>
    <n v="9"/>
    <x v="0"/>
    <n v="56.422614499778902"/>
    <n v="79.358430520656796"/>
    <n v="2700"/>
    <n v="402"/>
    <n v="128"/>
    <x v="21"/>
  </r>
  <r>
    <s v="FL1576"/>
    <s v="Los Angeles"/>
    <x v="2"/>
    <n v="8"/>
    <x v="0"/>
    <n v="75.155635882495503"/>
    <n v="-67.617748542443294"/>
    <n v="2882"/>
    <n v="354"/>
    <n v="125"/>
    <x v="18"/>
  </r>
  <r>
    <s v="FL1577"/>
    <s v="Houston"/>
    <x v="0"/>
    <n v="10"/>
    <x v="0"/>
    <n v="-176.98907452433099"/>
    <n v="67.524051351807401"/>
    <n v="2550"/>
    <n v="600"/>
    <n v="100"/>
    <x v="0"/>
  </r>
  <r>
    <s v="FL1578"/>
    <s v="Los Angeles"/>
    <x v="4"/>
    <n v="11"/>
    <x v="0"/>
    <n v="-101.639736151007"/>
    <n v="84.769244928831299"/>
    <n v="2794"/>
    <n v="402"/>
    <n v="113"/>
    <x v="22"/>
  </r>
  <r>
    <s v="FL1579"/>
    <s v="Houston"/>
    <x v="1"/>
    <n v="9"/>
    <x v="1"/>
    <n v="58.206343823948302"/>
    <n v="-58.112365819927398"/>
    <n v="2500"/>
    <n v="356"/>
    <n v="127"/>
    <x v="12"/>
  </r>
  <r>
    <s v="FL1580"/>
    <s v="Houston"/>
    <x v="0"/>
    <n v="10"/>
    <x v="0"/>
    <n v="-5.76382745529102"/>
    <n v="39.971891556681399"/>
    <n v="2550"/>
    <n v="397"/>
    <n v="120"/>
    <x v="0"/>
  </r>
  <r>
    <s v="FL1581"/>
    <s v="Miami"/>
    <x v="1"/>
    <n v="10"/>
    <x v="0"/>
    <n v="-178.08714875939501"/>
    <n v="-82.748606619960299"/>
    <n v="2931"/>
    <n v="356"/>
    <n v="105"/>
    <x v="3"/>
  </r>
  <r>
    <s v="FL1582"/>
    <s v="New York"/>
    <x v="0"/>
    <n v="15"/>
    <x v="0"/>
    <n v="109.618071275456"/>
    <n v="-17.023891474952102"/>
    <n v="2954"/>
    <n v="450"/>
    <n v="100"/>
    <x v="24"/>
  </r>
  <r>
    <s v="FL1583"/>
    <s v="New York"/>
    <x v="2"/>
    <n v="9"/>
    <x v="0"/>
    <n v="98.211446384521494"/>
    <n v="2.93099385558132"/>
    <n v="2847"/>
    <n v="354"/>
    <n v="122"/>
    <x v="13"/>
  </r>
  <r>
    <s v="FL1584"/>
    <s v="Chicago"/>
    <x v="4"/>
    <n v="10"/>
    <x v="0"/>
    <n v="17.430898677682499"/>
    <n v="14.516140663734101"/>
    <n v="2636"/>
    <n v="402"/>
    <n v="114"/>
    <x v="9"/>
  </r>
  <r>
    <s v="FL1585"/>
    <s v="Miami"/>
    <x v="0"/>
    <n v="15"/>
    <x v="1"/>
    <n v="-156.07320272054201"/>
    <n v="78.4687046847407"/>
    <n v="3000"/>
    <n v="450"/>
    <n v="126"/>
    <x v="1"/>
  </r>
  <r>
    <s v="FL1586"/>
    <s v="Houston"/>
    <x v="3"/>
    <n v="7"/>
    <x v="1"/>
    <n v="95.945417831730495"/>
    <n v="31.005123712955001"/>
    <n v="2500"/>
    <n v="150"/>
    <n v="50"/>
    <x v="8"/>
  </r>
  <r>
    <s v="FL1587"/>
    <s v="New York"/>
    <x v="3"/>
    <n v="9"/>
    <x v="0"/>
    <n v="30.136891583291"/>
    <n v="-3.36996878053733"/>
    <n v="2760"/>
    <n v="374"/>
    <n v="107"/>
    <x v="16"/>
  </r>
  <r>
    <s v="FL1588"/>
    <s v="Houston"/>
    <x v="0"/>
    <n v="10"/>
    <x v="0"/>
    <n v="101.505591776865"/>
    <n v="55.741506527860103"/>
    <n v="2550"/>
    <n v="397"/>
    <n v="120"/>
    <x v="0"/>
  </r>
  <r>
    <s v="FL1589"/>
    <s v="New York"/>
    <x v="0"/>
    <n v="9"/>
    <x v="0"/>
    <n v="90.628917262502597"/>
    <n v="81.095907771793605"/>
    <n v="2954"/>
    <n v="397"/>
    <n v="128"/>
    <x v="24"/>
  </r>
  <r>
    <s v="FL1590"/>
    <s v="New York"/>
    <x v="0"/>
    <n v="9"/>
    <x v="0"/>
    <n v="109.080745904821"/>
    <n v="-86.028093237187605"/>
    <n v="2954"/>
    <n v="397"/>
    <n v="128"/>
    <x v="24"/>
  </r>
  <r>
    <s v="FL1591"/>
    <s v="New York"/>
    <x v="3"/>
    <n v="5"/>
    <x v="0"/>
    <n v="6.48290390566493"/>
    <n v="86.853829006086997"/>
    <n v="2000"/>
    <n v="600"/>
    <n v="100"/>
    <x v="16"/>
  </r>
  <r>
    <s v="FL1592"/>
    <s v="Miami"/>
    <x v="3"/>
    <n v="8"/>
    <x v="1"/>
    <n v="-129.48317345033499"/>
    <n v="-74.496214968537501"/>
    <n v="3500"/>
    <n v="600"/>
    <n v="50"/>
    <x v="14"/>
  </r>
  <r>
    <s v="FL1593"/>
    <s v="Los Angeles"/>
    <x v="0"/>
    <n v="10"/>
    <x v="2"/>
    <n v="61.616690416687902"/>
    <n v="56.589620268376997"/>
    <n v="2500"/>
    <n v="450"/>
    <n v="100"/>
    <x v="23"/>
  </r>
  <r>
    <s v="FL1594"/>
    <s v="Houston"/>
    <x v="1"/>
    <n v="9"/>
    <x v="0"/>
    <n v="43.3705626187094"/>
    <n v="-39.539744540745801"/>
    <n v="2500"/>
    <n v="356"/>
    <n v="127"/>
    <x v="12"/>
  </r>
  <r>
    <s v="FL1595"/>
    <s v="Miami"/>
    <x v="1"/>
    <n v="10"/>
    <x v="0"/>
    <n v="87.211147391671403"/>
    <n v="-66.207661604303098"/>
    <n v="2931"/>
    <n v="356"/>
    <n v="105"/>
    <x v="3"/>
  </r>
  <r>
    <s v="FL1596"/>
    <s v="Miami"/>
    <x v="2"/>
    <n v="8"/>
    <x v="0"/>
    <n v="-118.842837821735"/>
    <n v="-10.8259848515097"/>
    <n v="2718"/>
    <n v="354"/>
    <n v="115"/>
    <x v="7"/>
  </r>
  <r>
    <s v="FL1597"/>
    <s v="Miami"/>
    <x v="4"/>
    <n v="5"/>
    <x v="0"/>
    <n v="-109.808928035896"/>
    <n v="25.912184300570399"/>
    <n v="2000"/>
    <n v="450"/>
    <n v="128"/>
    <x v="21"/>
  </r>
  <r>
    <s v="FL1598"/>
    <s v="Miami"/>
    <x v="1"/>
    <n v="9"/>
    <x v="0"/>
    <n v="140.54742619895799"/>
    <n v="-21.428667895774499"/>
    <n v="2931"/>
    <n v="450"/>
    <n v="100"/>
    <x v="3"/>
  </r>
  <r>
    <s v="FL1599"/>
    <s v="Miami"/>
    <x v="3"/>
    <n v="8"/>
    <x v="0"/>
    <n v="89.992007442745503"/>
    <n v="-80.178226509114197"/>
    <n v="2615"/>
    <n v="374"/>
    <n v="121"/>
    <x v="14"/>
  </r>
  <r>
    <s v="FL1600"/>
    <s v="Chicago"/>
    <x v="1"/>
    <n v="9"/>
    <x v="0"/>
    <n v="146.96225593211599"/>
    <n v="17.903005138569"/>
    <n v="2500"/>
    <n v="356"/>
    <n v="50"/>
    <x v="17"/>
  </r>
  <r>
    <s v="FL1601"/>
    <s v="Houston"/>
    <x v="2"/>
    <n v="9"/>
    <x v="0"/>
    <n v="93.137515619011495"/>
    <n v="72.432589699921394"/>
    <n v="2647"/>
    <n v="354"/>
    <n v="113"/>
    <x v="19"/>
  </r>
  <r>
    <s v="FL1602"/>
    <s v="Miami"/>
    <x v="2"/>
    <n v="9"/>
    <x v="0"/>
    <n v="34.975910156508697"/>
    <n v="-21.021234129494701"/>
    <n v="3000"/>
    <n v="300"/>
    <n v="50"/>
    <x v="7"/>
  </r>
  <r>
    <s v="FL1603"/>
    <s v="Houston"/>
    <x v="4"/>
    <n v="8"/>
    <x v="0"/>
    <n v="55.487785330034498"/>
    <n v="-51.060100026451103"/>
    <n v="2500"/>
    <n v="402"/>
    <n v="111"/>
    <x v="11"/>
  </r>
  <r>
    <s v="FL1604"/>
    <s v="Chicago"/>
    <x v="1"/>
    <n v="9"/>
    <x v="0"/>
    <n v="140.08605261840401"/>
    <n v="-10.3360777320932"/>
    <n v="2678"/>
    <n v="356"/>
    <n v="137"/>
    <x v="17"/>
  </r>
  <r>
    <s v="FL1605"/>
    <s v="Chicago"/>
    <x v="3"/>
    <n v="9"/>
    <x v="0"/>
    <n v="28.3704316242986"/>
    <n v="-81.294712011219403"/>
    <n v="2000"/>
    <n v="374"/>
    <n v="200"/>
    <x v="6"/>
  </r>
  <r>
    <s v="FL1606"/>
    <s v="Houston"/>
    <x v="3"/>
    <n v="7"/>
    <x v="0"/>
    <n v="47.660876758219501"/>
    <n v="57.687765206449498"/>
    <n v="3500"/>
    <n v="374"/>
    <n v="138"/>
    <x v="8"/>
  </r>
  <r>
    <s v="FL1607"/>
    <s v="New York"/>
    <x v="0"/>
    <n v="9"/>
    <x v="0"/>
    <n v="-123.668382238704"/>
    <n v="58.741345971033603"/>
    <n v="2954"/>
    <n v="397"/>
    <n v="150"/>
    <x v="24"/>
  </r>
  <r>
    <s v="FL1608"/>
    <s v="Los Angeles"/>
    <x v="3"/>
    <n v="15"/>
    <x v="0"/>
    <n v="-9.3883607582030209"/>
    <n v="15.8400834173331"/>
    <n v="2000"/>
    <n v="600"/>
    <n v="50"/>
    <x v="10"/>
  </r>
  <r>
    <s v="FL1609"/>
    <s v="New York"/>
    <x v="4"/>
    <n v="15"/>
    <x v="0"/>
    <n v="77.902960304915595"/>
    <n v="-26.441479991089899"/>
    <n v="2588"/>
    <n v="402"/>
    <n v="50"/>
    <x v="20"/>
  </r>
  <r>
    <s v="FL1610"/>
    <s v="New York"/>
    <x v="4"/>
    <n v="15"/>
    <x v="1"/>
    <n v="-82.4606286061085"/>
    <n v="53.961005600241002"/>
    <n v="2500"/>
    <n v="600"/>
    <n v="100"/>
    <x v="20"/>
  </r>
  <r>
    <s v="FL1611"/>
    <s v="New York"/>
    <x v="3"/>
    <n v="12"/>
    <x v="0"/>
    <n v="-107.18849501116701"/>
    <n v="9.8436644619060907"/>
    <n v="3500"/>
    <n v="300"/>
    <n v="107"/>
    <x v="16"/>
  </r>
  <r>
    <s v="FL1612"/>
    <s v="Miami"/>
    <x v="3"/>
    <n v="5"/>
    <x v="0"/>
    <n v="-67.022349039210397"/>
    <n v="58.667815539002902"/>
    <n v="2500"/>
    <n v="150"/>
    <n v="150"/>
    <x v="14"/>
  </r>
  <r>
    <s v="FL1613"/>
    <s v="Chicago"/>
    <x v="0"/>
    <n v="8"/>
    <x v="0"/>
    <n v="-93.059773922580007"/>
    <n v="23.662582664943699"/>
    <n v="2583"/>
    <n v="397"/>
    <n v="133"/>
    <x v="2"/>
  </r>
  <r>
    <s v="FL1614"/>
    <s v="New York"/>
    <x v="3"/>
    <n v="7"/>
    <x v="2"/>
    <n v="-102.631450666898"/>
    <n v="51.192985178303502"/>
    <n v="3500"/>
    <n v="150"/>
    <n v="100"/>
    <x v="16"/>
  </r>
  <r>
    <s v="FL1615"/>
    <s v="Chicago"/>
    <x v="0"/>
    <n v="15"/>
    <x v="1"/>
    <n v="-27.0536965674887"/>
    <n v="17.741338779196798"/>
    <n v="2583"/>
    <n v="300"/>
    <n v="150"/>
    <x v="2"/>
  </r>
  <r>
    <s v="FL1616"/>
    <s v="Houston"/>
    <x v="0"/>
    <n v="12"/>
    <x v="0"/>
    <n v="146.82186499807199"/>
    <n v="-15.4546077211801"/>
    <n v="2500"/>
    <n v="150"/>
    <n v="120"/>
    <x v="0"/>
  </r>
  <r>
    <s v="FL1617"/>
    <s v="Los Angeles"/>
    <x v="3"/>
    <n v="8"/>
    <x v="0"/>
    <n v="2.5414728259385702"/>
    <n v="82.430254786704793"/>
    <n v="2760"/>
    <n v="374"/>
    <n v="131"/>
    <x v="10"/>
  </r>
  <r>
    <s v="FL1618"/>
    <s v="Houston"/>
    <x v="2"/>
    <n v="7"/>
    <x v="0"/>
    <n v="-112.34866290648399"/>
    <n v="7.4004884781920603"/>
    <n v="2000"/>
    <n v="450"/>
    <n v="50"/>
    <x v="19"/>
  </r>
  <r>
    <s v="FL1619"/>
    <s v="Houston"/>
    <x v="2"/>
    <n v="12"/>
    <x v="2"/>
    <n v="-152.29019902288499"/>
    <n v="18.916113337296899"/>
    <n v="2500"/>
    <n v="150"/>
    <n v="50"/>
    <x v="19"/>
  </r>
  <r>
    <s v="FL1620"/>
    <s v="Miami"/>
    <x v="0"/>
    <n v="9"/>
    <x v="2"/>
    <n v="70.616212249653103"/>
    <n v="-50.312224905345097"/>
    <n v="2000"/>
    <n v="150"/>
    <n v="100"/>
    <x v="1"/>
  </r>
  <r>
    <s v="FL1621"/>
    <s v="Los Angeles"/>
    <x v="3"/>
    <n v="8"/>
    <x v="0"/>
    <n v="-42.192444802900397"/>
    <n v="22.617142096909799"/>
    <n v="2760"/>
    <n v="374"/>
    <n v="131"/>
    <x v="10"/>
  </r>
  <r>
    <s v="FL1622"/>
    <s v="Houston"/>
    <x v="2"/>
    <n v="9"/>
    <x v="0"/>
    <n v="115.859140770729"/>
    <n v="12.8893769069299"/>
    <n v="3000"/>
    <n v="354"/>
    <n v="113"/>
    <x v="19"/>
  </r>
  <r>
    <s v="FL1623"/>
    <s v="Houston"/>
    <x v="3"/>
    <n v="5"/>
    <x v="0"/>
    <n v="57.423876710677298"/>
    <n v="-56.729088369535503"/>
    <n v="3000"/>
    <n v="374"/>
    <n v="150"/>
    <x v="8"/>
  </r>
  <r>
    <s v="FL1624"/>
    <s v="Los Angeles"/>
    <x v="3"/>
    <n v="5"/>
    <x v="2"/>
    <n v="106.64692219489299"/>
    <n v="-79.274322476434094"/>
    <n v="2500"/>
    <n v="450"/>
    <n v="100"/>
    <x v="10"/>
  </r>
  <r>
    <s v="FL1625"/>
    <s v="Los Angeles"/>
    <x v="3"/>
    <n v="12"/>
    <x v="1"/>
    <n v="-82.099425809358493"/>
    <n v="18.784677548658799"/>
    <n v="2500"/>
    <n v="600"/>
    <n v="131"/>
    <x v="10"/>
  </r>
  <r>
    <s v="FL1626"/>
    <s v="Houston"/>
    <x v="1"/>
    <n v="9"/>
    <x v="0"/>
    <n v="69.249212085980901"/>
    <n v="47.464608483057702"/>
    <n v="2500"/>
    <n v="356"/>
    <n v="127"/>
    <x v="12"/>
  </r>
  <r>
    <s v="FL1627"/>
    <s v="Los Angeles"/>
    <x v="3"/>
    <n v="5"/>
    <x v="1"/>
    <n v="-84.937685510261204"/>
    <n v="4.2122467659614804"/>
    <n v="3500"/>
    <n v="150"/>
    <n v="150"/>
    <x v="10"/>
  </r>
  <r>
    <s v="FL1628"/>
    <s v="Houston"/>
    <x v="1"/>
    <n v="9"/>
    <x v="0"/>
    <n v="158.06465260210501"/>
    <n v="-49.180927442463798"/>
    <n v="2500"/>
    <n v="356"/>
    <n v="127"/>
    <x v="12"/>
  </r>
  <r>
    <s v="FL1629"/>
    <s v="Houston"/>
    <x v="0"/>
    <n v="10"/>
    <x v="0"/>
    <n v="49.0947413520148"/>
    <n v="29.9739558047463"/>
    <n v="2550"/>
    <n v="397"/>
    <n v="120"/>
    <x v="0"/>
  </r>
  <r>
    <s v="FL1630"/>
    <s v="Miami"/>
    <x v="2"/>
    <n v="12"/>
    <x v="1"/>
    <n v="-63.1757519368769"/>
    <n v="-75.580969210271604"/>
    <n v="2000"/>
    <n v="600"/>
    <n v="100"/>
    <x v="7"/>
  </r>
  <r>
    <s v="FL1631"/>
    <s v="New York"/>
    <x v="2"/>
    <n v="9"/>
    <x v="0"/>
    <n v="-82.975729574781894"/>
    <n v="-10.469933135648199"/>
    <n v="2847"/>
    <n v="354"/>
    <n v="122"/>
    <x v="13"/>
  </r>
  <r>
    <s v="FL1632"/>
    <s v="Houston"/>
    <x v="2"/>
    <n v="12"/>
    <x v="0"/>
    <n v="-111.266429374208"/>
    <n v="-60.593983488284401"/>
    <n v="2500"/>
    <n v="300"/>
    <n v="50"/>
    <x v="19"/>
  </r>
  <r>
    <s v="FL1633"/>
    <s v="Chicago"/>
    <x v="2"/>
    <n v="5"/>
    <x v="0"/>
    <n v="70.070745201742"/>
    <n v="-56.797370809221"/>
    <n v="2000"/>
    <n v="354"/>
    <n v="200"/>
    <x v="5"/>
  </r>
  <r>
    <s v="FL1634"/>
    <s v="New York"/>
    <x v="2"/>
    <n v="12"/>
    <x v="0"/>
    <n v="-101.26237932074601"/>
    <n v="-53.587089151523301"/>
    <n v="3000"/>
    <n v="150"/>
    <n v="200"/>
    <x v="13"/>
  </r>
  <r>
    <s v="FL1635"/>
    <s v="New York"/>
    <x v="2"/>
    <n v="9"/>
    <x v="0"/>
    <n v="34.309175733896097"/>
    <n v="-20.392729732084"/>
    <n v="2847"/>
    <n v="354"/>
    <n v="122"/>
    <x v="13"/>
  </r>
  <r>
    <s v="FL1636"/>
    <s v="New York"/>
    <x v="2"/>
    <n v="9"/>
    <x v="0"/>
    <n v="-84.731390306871404"/>
    <n v="-80.792962988328398"/>
    <n v="2847"/>
    <n v="354"/>
    <n v="122"/>
    <x v="13"/>
  </r>
  <r>
    <s v="FL1637"/>
    <s v="Miami"/>
    <x v="0"/>
    <n v="15"/>
    <x v="0"/>
    <n v="58.3088201257927"/>
    <n v="-18.3971806327623"/>
    <n v="2000"/>
    <n v="397"/>
    <n v="150"/>
    <x v="1"/>
  </r>
  <r>
    <s v="FL1638"/>
    <s v="Houston"/>
    <x v="3"/>
    <n v="8"/>
    <x v="0"/>
    <n v="113.37830227459401"/>
    <n v="2.10734048064616"/>
    <n v="3500"/>
    <n v="600"/>
    <n v="50"/>
    <x v="8"/>
  </r>
  <r>
    <s v="FL1639"/>
    <s v="Miami"/>
    <x v="4"/>
    <n v="12"/>
    <x v="1"/>
    <n v="100.089087532075"/>
    <n v="-3.00702870606146"/>
    <n v="2500"/>
    <n v="402"/>
    <n v="200"/>
    <x v="21"/>
  </r>
  <r>
    <s v="FL1640"/>
    <s v="Houston"/>
    <x v="1"/>
    <n v="7"/>
    <x v="1"/>
    <n v="93.906479135081398"/>
    <n v="-21.098861927452699"/>
    <n v="2000"/>
    <n v="150"/>
    <n v="100"/>
    <x v="12"/>
  </r>
  <r>
    <s v="FL1641"/>
    <s v="Miami"/>
    <x v="4"/>
    <n v="9"/>
    <x v="2"/>
    <n v="-112.419933950789"/>
    <n v="61.046389452735397"/>
    <n v="2700"/>
    <n v="300"/>
    <n v="100"/>
    <x v="21"/>
  </r>
  <r>
    <s v="FL1642"/>
    <s v="Miami"/>
    <x v="4"/>
    <n v="9"/>
    <x v="0"/>
    <n v="-148.181419085573"/>
    <n v="-63.8411953643093"/>
    <n v="3000"/>
    <n v="600"/>
    <n v="150"/>
    <x v="21"/>
  </r>
  <r>
    <s v="FL1643"/>
    <s v="Chicago"/>
    <x v="3"/>
    <n v="9"/>
    <x v="0"/>
    <n v="71.6215782554588"/>
    <n v="1.0254138806473201"/>
    <n v="2678"/>
    <n v="374"/>
    <n v="116"/>
    <x v="6"/>
  </r>
  <r>
    <s v="FL1644"/>
    <s v="Miami"/>
    <x v="3"/>
    <n v="8"/>
    <x v="0"/>
    <n v="-47.3950030340335"/>
    <n v="-78.832544947820196"/>
    <n v="2615"/>
    <n v="374"/>
    <n v="121"/>
    <x v="14"/>
  </r>
  <r>
    <s v="FL1645"/>
    <s v="Los Angeles"/>
    <x v="3"/>
    <n v="12"/>
    <x v="0"/>
    <n v="-24.355358494794999"/>
    <n v="-77.191977801976293"/>
    <n v="3500"/>
    <n v="600"/>
    <n v="100"/>
    <x v="10"/>
  </r>
  <r>
    <s v="FL1646"/>
    <s v="Chicago"/>
    <x v="2"/>
    <n v="10"/>
    <x v="1"/>
    <n v="-168.78632659437901"/>
    <n v="13.2958529418773"/>
    <n v="3000"/>
    <n v="600"/>
    <n v="100"/>
    <x v="5"/>
  </r>
  <r>
    <s v="FL1647"/>
    <s v="Miami"/>
    <x v="0"/>
    <n v="7"/>
    <x v="2"/>
    <n v="-86.552478260982298"/>
    <n v="11.883316479807799"/>
    <n v="2000"/>
    <n v="397"/>
    <n v="100"/>
    <x v="1"/>
  </r>
  <r>
    <s v="FL1648"/>
    <s v="New York"/>
    <x v="2"/>
    <n v="9"/>
    <x v="2"/>
    <n v="-167.87649460519299"/>
    <n v="68.046032312002197"/>
    <n v="2500"/>
    <n v="354"/>
    <n v="200"/>
    <x v="13"/>
  </r>
  <r>
    <s v="FL1649"/>
    <s v="Los Angeles"/>
    <x v="0"/>
    <n v="10"/>
    <x v="0"/>
    <n v="136.50687813644899"/>
    <n v="10.4172616188132"/>
    <n v="2586"/>
    <n v="397"/>
    <n v="119"/>
    <x v="23"/>
  </r>
  <r>
    <s v="FL1650"/>
    <s v="Los Angeles"/>
    <x v="0"/>
    <n v="10"/>
    <x v="0"/>
    <n v="-92.377194041329005"/>
    <n v="82.762383672873"/>
    <n v="2586"/>
    <n v="397"/>
    <n v="119"/>
    <x v="23"/>
  </r>
  <r>
    <s v="FL1651"/>
    <s v="Los Angeles"/>
    <x v="4"/>
    <n v="15"/>
    <x v="2"/>
    <n v="20.641381046282898"/>
    <n v="-81.234927288012599"/>
    <n v="3500"/>
    <n v="600"/>
    <n v="100"/>
    <x v="22"/>
  </r>
  <r>
    <s v="FL1652"/>
    <s v="Chicago"/>
    <x v="4"/>
    <n v="10"/>
    <x v="0"/>
    <n v="-165.96744456199301"/>
    <n v="-72.358616739466598"/>
    <n v="2636"/>
    <n v="402"/>
    <n v="114"/>
    <x v="9"/>
  </r>
  <r>
    <s v="FL1653"/>
    <s v="Miami"/>
    <x v="0"/>
    <n v="12"/>
    <x v="2"/>
    <n v="60.065060870036902"/>
    <n v="-82.068144917331395"/>
    <n v="3500"/>
    <n v="300"/>
    <n v="126"/>
    <x v="1"/>
  </r>
  <r>
    <s v="FL1654"/>
    <s v="Miami"/>
    <x v="0"/>
    <n v="5"/>
    <x v="2"/>
    <n v="-63.710155528526201"/>
    <n v="-56.650166939962801"/>
    <n v="2729"/>
    <n v="300"/>
    <n v="200"/>
    <x v="1"/>
  </r>
  <r>
    <s v="FL1655"/>
    <s v="New York"/>
    <x v="2"/>
    <n v="9"/>
    <x v="0"/>
    <n v="143.25090730476001"/>
    <n v="7.4286199695020496"/>
    <n v="2847"/>
    <n v="354"/>
    <n v="122"/>
    <x v="13"/>
  </r>
  <r>
    <s v="FL1656"/>
    <s v="New York"/>
    <x v="2"/>
    <n v="9"/>
    <x v="0"/>
    <n v="139.722548016253"/>
    <n v="26.202992656936999"/>
    <n v="2847"/>
    <n v="354"/>
    <n v="122"/>
    <x v="13"/>
  </r>
  <r>
    <s v="FL1657"/>
    <s v="Los Angeles"/>
    <x v="4"/>
    <n v="9"/>
    <x v="0"/>
    <n v="-62.8953773897708"/>
    <n v="-81.794671569239597"/>
    <n v="2500"/>
    <n v="450"/>
    <n v="100"/>
    <x v="22"/>
  </r>
  <r>
    <s v="FL1658"/>
    <s v="New York"/>
    <x v="3"/>
    <n v="12"/>
    <x v="1"/>
    <n v="144.34592244856799"/>
    <n v="80.274760172207905"/>
    <n v="2760"/>
    <n v="300"/>
    <n v="150"/>
    <x v="16"/>
  </r>
  <r>
    <s v="FL1659"/>
    <s v="Chicago"/>
    <x v="0"/>
    <n v="7"/>
    <x v="1"/>
    <n v="178.61676245955999"/>
    <n v="61.589767797068603"/>
    <n v="3500"/>
    <n v="600"/>
    <n v="150"/>
    <x v="2"/>
  </r>
  <r>
    <s v="FL1660"/>
    <s v="Miami"/>
    <x v="2"/>
    <n v="8"/>
    <x v="0"/>
    <n v="117.149639084621"/>
    <n v="-36.609753211723202"/>
    <n v="2718"/>
    <n v="354"/>
    <n v="115"/>
    <x v="7"/>
  </r>
  <r>
    <s v="FL1661"/>
    <s v="Los Angeles"/>
    <x v="4"/>
    <n v="9"/>
    <x v="2"/>
    <n v="124.153685191883"/>
    <n v="-76.106244559235805"/>
    <n v="2794"/>
    <n v="402"/>
    <n v="113"/>
    <x v="22"/>
  </r>
  <r>
    <s v="FL1662"/>
    <s v="New York"/>
    <x v="2"/>
    <n v="9"/>
    <x v="0"/>
    <n v="-90.356855000727606"/>
    <n v="-59.420326820569699"/>
    <n v="2847"/>
    <n v="354"/>
    <n v="122"/>
    <x v="13"/>
  </r>
  <r>
    <s v="FL1663"/>
    <s v="Chicago"/>
    <x v="0"/>
    <n v="15"/>
    <x v="1"/>
    <n v="27.612863588792301"/>
    <n v="-67.150005524104898"/>
    <n v="2000"/>
    <n v="300"/>
    <n v="200"/>
    <x v="2"/>
  </r>
  <r>
    <s v="FL1664"/>
    <s v="Chicago"/>
    <x v="0"/>
    <n v="8"/>
    <x v="0"/>
    <n v="-155.78787097174799"/>
    <n v="-67.8089197261896"/>
    <n v="2583"/>
    <n v="397"/>
    <n v="133"/>
    <x v="2"/>
  </r>
  <r>
    <s v="FL1665"/>
    <s v="New York"/>
    <x v="1"/>
    <n v="7"/>
    <x v="1"/>
    <n v="-145.82954274419899"/>
    <n v="3.3411039598321102"/>
    <n v="2800"/>
    <n v="150"/>
    <n v="120"/>
    <x v="15"/>
  </r>
  <r>
    <s v="FL1666"/>
    <s v="Miami"/>
    <x v="3"/>
    <n v="5"/>
    <x v="2"/>
    <n v="179.601340331985"/>
    <n v="-45.747460351187897"/>
    <n v="2615"/>
    <n v="300"/>
    <n v="100"/>
    <x v="14"/>
  </r>
  <r>
    <s v="FL1667"/>
    <s v="New York"/>
    <x v="1"/>
    <n v="9"/>
    <x v="0"/>
    <n v="-62.409870206672103"/>
    <n v="-25.534851024754001"/>
    <n v="3000"/>
    <n v="600"/>
    <n v="50"/>
    <x v="15"/>
  </r>
  <r>
    <s v="FL1668"/>
    <s v="Los Angeles"/>
    <x v="4"/>
    <n v="11"/>
    <x v="0"/>
    <n v="89.346208337584699"/>
    <n v="88.110960009178001"/>
    <n v="2794"/>
    <n v="402"/>
    <n v="113"/>
    <x v="22"/>
  </r>
  <r>
    <s v="FL1669"/>
    <s v="New York"/>
    <x v="2"/>
    <n v="7"/>
    <x v="1"/>
    <n v="110.399419089654"/>
    <n v="33.176564806562098"/>
    <n v="2500"/>
    <n v="354"/>
    <n v="100"/>
    <x v="13"/>
  </r>
  <r>
    <s v="FL1670"/>
    <s v="Chicago"/>
    <x v="4"/>
    <n v="10"/>
    <x v="0"/>
    <n v="128.88837756260301"/>
    <n v="80.816520068460306"/>
    <n v="2636"/>
    <n v="402"/>
    <n v="114"/>
    <x v="9"/>
  </r>
  <r>
    <s v="FL1671"/>
    <s v="New York"/>
    <x v="0"/>
    <n v="12"/>
    <x v="2"/>
    <n v="179.146187064776"/>
    <n v="-64.339820094039197"/>
    <n v="3500"/>
    <n v="450"/>
    <n v="100"/>
    <x v="24"/>
  </r>
  <r>
    <s v="FL1672"/>
    <s v="Miami"/>
    <x v="1"/>
    <n v="15"/>
    <x v="0"/>
    <n v="-93.061265307527606"/>
    <n v="-21.214894530137499"/>
    <n v="3500"/>
    <n v="300"/>
    <n v="50"/>
    <x v="3"/>
  </r>
  <r>
    <s v="FL1673"/>
    <s v="Houston"/>
    <x v="1"/>
    <n v="7"/>
    <x v="1"/>
    <n v="-165.47370233050799"/>
    <n v="9.8517245908237605"/>
    <n v="3500"/>
    <n v="300"/>
    <n v="150"/>
    <x v="12"/>
  </r>
  <r>
    <s v="FL1674"/>
    <s v="New York"/>
    <x v="1"/>
    <n v="7"/>
    <x v="0"/>
    <n v="-31.971053521948999"/>
    <n v="-76.183548860027201"/>
    <n v="3000"/>
    <n v="356"/>
    <n v="100"/>
    <x v="15"/>
  </r>
  <r>
    <s v="FL1675"/>
    <s v="Miami"/>
    <x v="4"/>
    <n v="12"/>
    <x v="1"/>
    <n v="-133.17095886157901"/>
    <n v="-89.2462601469676"/>
    <n v="2700"/>
    <n v="402"/>
    <n v="200"/>
    <x v="21"/>
  </r>
  <r>
    <s v="FL1676"/>
    <s v="Miami"/>
    <x v="0"/>
    <n v="9"/>
    <x v="0"/>
    <n v="-171.92667990166001"/>
    <n v="30.678180083445199"/>
    <n v="3500"/>
    <n v="150"/>
    <n v="126"/>
    <x v="1"/>
  </r>
  <r>
    <s v="FL1677"/>
    <s v="Chicago"/>
    <x v="2"/>
    <n v="10"/>
    <x v="0"/>
    <n v="-50.246342229065"/>
    <n v="25.527513024258401"/>
    <n v="2928"/>
    <n v="354"/>
    <n v="121"/>
    <x v="5"/>
  </r>
  <r>
    <s v="FL1678"/>
    <s v="Miami"/>
    <x v="2"/>
    <n v="8"/>
    <x v="0"/>
    <n v="102.14577038708499"/>
    <n v="-16.058014200069898"/>
    <n v="2718"/>
    <n v="354"/>
    <n v="115"/>
    <x v="7"/>
  </r>
  <r>
    <s v="FL1679"/>
    <s v="Miami"/>
    <x v="4"/>
    <n v="9"/>
    <x v="0"/>
    <n v="23.825048841025499"/>
    <n v="-1.8640663142341201"/>
    <n v="2700"/>
    <n v="402"/>
    <n v="128"/>
    <x v="21"/>
  </r>
  <r>
    <s v="FL1680"/>
    <s v="Miami"/>
    <x v="1"/>
    <n v="15"/>
    <x v="0"/>
    <n v="-67.399923884272496"/>
    <n v="-15.220259893423901"/>
    <n v="3500"/>
    <n v="150"/>
    <n v="50"/>
    <x v="3"/>
  </r>
  <r>
    <s v="FL1681"/>
    <s v="Miami"/>
    <x v="3"/>
    <n v="7"/>
    <x v="0"/>
    <n v="55.563121977379097"/>
    <n v="-85.679091927919998"/>
    <n v="3000"/>
    <n v="150"/>
    <n v="150"/>
    <x v="14"/>
  </r>
  <r>
    <s v="FL1682"/>
    <s v="Los Angeles"/>
    <x v="4"/>
    <n v="15"/>
    <x v="0"/>
    <n v="-96.473455088828103"/>
    <n v="-29.633110880856801"/>
    <n v="2500"/>
    <n v="450"/>
    <n v="113"/>
    <x v="22"/>
  </r>
  <r>
    <s v="FL1683"/>
    <s v="Los Angeles"/>
    <x v="4"/>
    <n v="9"/>
    <x v="1"/>
    <n v="-174.82267941404899"/>
    <n v="-58.125194028487797"/>
    <n v="2500"/>
    <n v="150"/>
    <n v="150"/>
    <x v="22"/>
  </r>
  <r>
    <s v="FL1684"/>
    <s v="Chicago"/>
    <x v="0"/>
    <n v="7"/>
    <x v="0"/>
    <n v="95.167219117113902"/>
    <n v="-72.283645961753606"/>
    <n v="2583"/>
    <n v="300"/>
    <n v="50"/>
    <x v="2"/>
  </r>
  <r>
    <s v="FL1685"/>
    <s v="New York"/>
    <x v="2"/>
    <n v="15"/>
    <x v="1"/>
    <n v="44.547510551043302"/>
    <n v="82.209678100082996"/>
    <n v="2500"/>
    <n v="354"/>
    <n v="122"/>
    <x v="13"/>
  </r>
  <r>
    <s v="FL1686"/>
    <s v="Miami"/>
    <x v="4"/>
    <n v="5"/>
    <x v="0"/>
    <n v="94.428944820345606"/>
    <n v="17.8847505075898"/>
    <n v="2500"/>
    <n v="600"/>
    <n v="150"/>
    <x v="21"/>
  </r>
  <r>
    <s v="FL1687"/>
    <s v="New York"/>
    <x v="4"/>
    <n v="11"/>
    <x v="0"/>
    <n v="-165.98231399244"/>
    <n v="41.158131162588496"/>
    <n v="2588"/>
    <n v="402"/>
    <n v="134"/>
    <x v="20"/>
  </r>
  <r>
    <s v="FL1688"/>
    <s v="New York"/>
    <x v="1"/>
    <n v="9"/>
    <x v="2"/>
    <n v="121.363066019035"/>
    <n v="-33.2345262120988"/>
    <n v="2800"/>
    <n v="356"/>
    <n v="150"/>
    <x v="15"/>
  </r>
  <r>
    <s v="FL1689"/>
    <s v="Chicago"/>
    <x v="1"/>
    <n v="9"/>
    <x v="0"/>
    <n v="43.029432013069197"/>
    <n v="-19.233516691077298"/>
    <n v="2678"/>
    <n v="356"/>
    <n v="137"/>
    <x v="17"/>
  </r>
  <r>
    <s v="FL1690"/>
    <s v="Miami"/>
    <x v="3"/>
    <n v="15"/>
    <x v="0"/>
    <n v="22.822326256550401"/>
    <n v="-47.353681098589803"/>
    <n v="2500"/>
    <n v="300"/>
    <n v="50"/>
    <x v="14"/>
  </r>
  <r>
    <s v="FL1691"/>
    <s v="Miami"/>
    <x v="0"/>
    <n v="12"/>
    <x v="1"/>
    <n v="44.861057321231399"/>
    <n v="-72.546179226223501"/>
    <n v="2500"/>
    <n v="150"/>
    <n v="150"/>
    <x v="1"/>
  </r>
  <r>
    <s v="FL1692"/>
    <s v="Houston"/>
    <x v="3"/>
    <n v="8"/>
    <x v="0"/>
    <n v="131.19596887261099"/>
    <n v="-57.7743052605149"/>
    <n v="2846"/>
    <n v="374"/>
    <n v="138"/>
    <x v="8"/>
  </r>
  <r>
    <s v="FL1693"/>
    <s v="New York"/>
    <x v="1"/>
    <n v="15"/>
    <x v="0"/>
    <n v="31.2971423612065"/>
    <n v="53.552528153367497"/>
    <n v="3000"/>
    <n v="150"/>
    <n v="100"/>
    <x v="15"/>
  </r>
  <r>
    <s v="FL1694"/>
    <s v="New York"/>
    <x v="2"/>
    <n v="5"/>
    <x v="2"/>
    <n v="29.142136759744499"/>
    <n v="31.958244933079701"/>
    <n v="3500"/>
    <n v="150"/>
    <n v="50"/>
    <x v="13"/>
  </r>
  <r>
    <s v="FL1695"/>
    <s v="Los Angeles"/>
    <x v="1"/>
    <n v="8"/>
    <x v="0"/>
    <n v="176.64449654367601"/>
    <n v="8.4471976773858408"/>
    <n v="3000"/>
    <n v="356"/>
    <n v="145"/>
    <x v="4"/>
  </r>
  <r>
    <s v="FL1696"/>
    <s v="Houston"/>
    <x v="0"/>
    <n v="10"/>
    <x v="0"/>
    <n v="92.422860144684506"/>
    <n v="-4.4838228839817402"/>
    <n v="2550"/>
    <n v="397"/>
    <n v="120"/>
    <x v="0"/>
  </r>
  <r>
    <s v="FL1697"/>
    <s v="Los Angeles"/>
    <x v="1"/>
    <n v="8"/>
    <x v="0"/>
    <n v="-20.774230037591298"/>
    <n v="76.038171058102407"/>
    <n v="3000"/>
    <n v="356"/>
    <n v="145"/>
    <x v="4"/>
  </r>
  <r>
    <s v="FL1698"/>
    <s v="Los Angeles"/>
    <x v="0"/>
    <n v="12"/>
    <x v="0"/>
    <n v="74.662920011853998"/>
    <n v="-76.907709399839703"/>
    <n v="3500"/>
    <n v="450"/>
    <n v="100"/>
    <x v="23"/>
  </r>
  <r>
    <s v="FL1699"/>
    <s v="Los Angeles"/>
    <x v="0"/>
    <n v="7"/>
    <x v="2"/>
    <n v="-39.877030190956098"/>
    <n v="-39.491853617175103"/>
    <n v="2000"/>
    <n v="450"/>
    <n v="100"/>
    <x v="23"/>
  </r>
  <r>
    <s v="FL1700"/>
    <s v="Chicago"/>
    <x v="0"/>
    <n v="5"/>
    <x v="0"/>
    <n v="-97.604833505940405"/>
    <n v="-27.011186357271502"/>
    <n v="2583"/>
    <n v="397"/>
    <n v="50"/>
    <x v="2"/>
  </r>
  <r>
    <s v="FL1701"/>
    <s v="Chicago"/>
    <x v="0"/>
    <n v="8"/>
    <x v="0"/>
    <n v="34.866675679593399"/>
    <n v="50.8366461983018"/>
    <n v="2583"/>
    <n v="300"/>
    <n v="200"/>
    <x v="2"/>
  </r>
  <r>
    <s v="FL1702"/>
    <s v="Los Angeles"/>
    <x v="0"/>
    <n v="5"/>
    <x v="0"/>
    <n v="154.14555532102199"/>
    <n v="88.652631629154897"/>
    <n v="2000"/>
    <n v="600"/>
    <n v="119"/>
    <x v="23"/>
  </r>
  <r>
    <s v="FL1703"/>
    <s v="Houston"/>
    <x v="2"/>
    <n v="9"/>
    <x v="0"/>
    <n v="154.49022720556701"/>
    <n v="-46.679307343712502"/>
    <n v="2647"/>
    <n v="354"/>
    <n v="113"/>
    <x v="19"/>
  </r>
  <r>
    <s v="FL1704"/>
    <s v="New York"/>
    <x v="3"/>
    <n v="15"/>
    <x v="2"/>
    <n v="-56.9140998820235"/>
    <n v="67.375320144674504"/>
    <n v="2000"/>
    <n v="600"/>
    <n v="50"/>
    <x v="16"/>
  </r>
  <r>
    <s v="FL1705"/>
    <s v="Houston"/>
    <x v="4"/>
    <n v="8"/>
    <x v="0"/>
    <n v="9.9638878398101802"/>
    <n v="59.512096877722399"/>
    <n v="2500"/>
    <n v="402"/>
    <n v="111"/>
    <x v="11"/>
  </r>
  <r>
    <s v="FL1706"/>
    <s v="Miami"/>
    <x v="3"/>
    <n v="8"/>
    <x v="0"/>
    <n v="-103.81107651485"/>
    <n v="-49.561668424482001"/>
    <n v="2615"/>
    <n v="374"/>
    <n v="121"/>
    <x v="14"/>
  </r>
  <r>
    <s v="FL1707"/>
    <s v="Chicago"/>
    <x v="0"/>
    <n v="8"/>
    <x v="0"/>
    <n v="178.427199419598"/>
    <n v="-18.1201355641399"/>
    <n v="2583"/>
    <n v="397"/>
    <n v="133"/>
    <x v="2"/>
  </r>
  <r>
    <s v="FL1708"/>
    <s v="New York"/>
    <x v="2"/>
    <n v="9"/>
    <x v="0"/>
    <n v="173.20244683245701"/>
    <n v="-16.258883527346601"/>
    <n v="2847"/>
    <n v="354"/>
    <n v="122"/>
    <x v="13"/>
  </r>
  <r>
    <s v="FL1709"/>
    <s v="New York"/>
    <x v="1"/>
    <n v="9"/>
    <x v="0"/>
    <n v="53.823214694680999"/>
    <n v="86.079720334780504"/>
    <n v="2800"/>
    <n v="450"/>
    <n v="50"/>
    <x v="15"/>
  </r>
  <r>
    <s v="FL1710"/>
    <s v="Miami"/>
    <x v="2"/>
    <n v="5"/>
    <x v="0"/>
    <n v="109.58906148389001"/>
    <n v="-57.439457751798301"/>
    <n v="3000"/>
    <n v="300"/>
    <n v="100"/>
    <x v="7"/>
  </r>
  <r>
    <s v="FL1711"/>
    <s v="Miami"/>
    <x v="0"/>
    <n v="9"/>
    <x v="0"/>
    <n v="77.436058062132005"/>
    <n v="53.848434798860801"/>
    <n v="2729"/>
    <n v="397"/>
    <n v="126"/>
    <x v="1"/>
  </r>
  <r>
    <s v="FL1712"/>
    <s v="Los Angeles"/>
    <x v="2"/>
    <n v="5"/>
    <x v="2"/>
    <n v="33.5369588542085"/>
    <n v="-29.845311448840199"/>
    <n v="3500"/>
    <n v="354"/>
    <n v="200"/>
    <x v="18"/>
  </r>
  <r>
    <s v="FL1713"/>
    <s v="Chicago"/>
    <x v="2"/>
    <n v="10"/>
    <x v="0"/>
    <n v="-160.79472108399699"/>
    <n v="41.556662239708899"/>
    <n v="2928"/>
    <n v="354"/>
    <n v="121"/>
    <x v="5"/>
  </r>
  <r>
    <s v="FL1714"/>
    <s v="Chicago"/>
    <x v="0"/>
    <n v="8"/>
    <x v="0"/>
    <n v="-16.284836681042002"/>
    <n v="-14.398019226780701"/>
    <n v="2583"/>
    <n v="397"/>
    <n v="133"/>
    <x v="2"/>
  </r>
  <r>
    <s v="FL1715"/>
    <s v="Houston"/>
    <x v="2"/>
    <n v="9"/>
    <x v="0"/>
    <n v="62.923068780267798"/>
    <n v="14.104757360977199"/>
    <n v="2647"/>
    <n v="300"/>
    <n v="50"/>
    <x v="19"/>
  </r>
  <r>
    <s v="FL1716"/>
    <s v="Los Angeles"/>
    <x v="4"/>
    <n v="11"/>
    <x v="0"/>
    <n v="63.911380998126504"/>
    <n v="59.870119198703598"/>
    <n v="2794"/>
    <n v="402"/>
    <n v="113"/>
    <x v="22"/>
  </r>
  <r>
    <s v="FL1717"/>
    <s v="Los Angeles"/>
    <x v="4"/>
    <n v="11"/>
    <x v="0"/>
    <n v="-45.675857367941902"/>
    <n v="54.749801697099102"/>
    <n v="2794"/>
    <n v="402"/>
    <n v="113"/>
    <x v="22"/>
  </r>
  <r>
    <s v="FL1718"/>
    <s v="Los Angeles"/>
    <x v="2"/>
    <n v="7"/>
    <x v="1"/>
    <n v="159.009115196891"/>
    <n v="65.956173037146002"/>
    <n v="3000"/>
    <n v="150"/>
    <n v="200"/>
    <x v="18"/>
  </r>
  <r>
    <s v="FL1719"/>
    <s v="Los Angeles"/>
    <x v="1"/>
    <n v="5"/>
    <x v="0"/>
    <n v="-119.751468394759"/>
    <n v="-79.268881437961397"/>
    <n v="2000"/>
    <n v="356"/>
    <n v="150"/>
    <x v="4"/>
  </r>
  <r>
    <s v="FL1720"/>
    <s v="Chicago"/>
    <x v="0"/>
    <n v="7"/>
    <x v="2"/>
    <n v="0.12940063760183301"/>
    <n v="34.569099547154103"/>
    <n v="3500"/>
    <n v="300"/>
    <n v="100"/>
    <x v="2"/>
  </r>
  <r>
    <s v="FL1721"/>
    <s v="Chicago"/>
    <x v="4"/>
    <n v="10"/>
    <x v="0"/>
    <n v="68.718231558296196"/>
    <n v="-64.802272190082704"/>
    <n v="2636"/>
    <n v="402"/>
    <n v="114"/>
    <x v="9"/>
  </r>
  <r>
    <s v="FL1722"/>
    <s v="Los Angeles"/>
    <x v="1"/>
    <n v="8"/>
    <x v="0"/>
    <n v="70.968890121051302"/>
    <n v="-15.152657756686001"/>
    <n v="3000"/>
    <n v="356"/>
    <n v="145"/>
    <x v="4"/>
  </r>
  <r>
    <s v="FL1723"/>
    <s v="Houston"/>
    <x v="2"/>
    <n v="7"/>
    <x v="1"/>
    <n v="53.510024436773598"/>
    <n v="8.7459147098439303"/>
    <n v="2500"/>
    <n v="150"/>
    <n v="113"/>
    <x v="19"/>
  </r>
  <r>
    <s v="FL1724"/>
    <s v="New York"/>
    <x v="1"/>
    <n v="9"/>
    <x v="2"/>
    <n v="-80.896243157330304"/>
    <n v="-17.5068927455705"/>
    <n v="2000"/>
    <n v="150"/>
    <n v="50"/>
    <x v="15"/>
  </r>
  <r>
    <s v="FL1725"/>
    <s v="New York"/>
    <x v="3"/>
    <n v="5"/>
    <x v="2"/>
    <n v="-123.765635272816"/>
    <n v="3.5301016445413498"/>
    <n v="2000"/>
    <n v="450"/>
    <n v="150"/>
    <x v="16"/>
  </r>
  <r>
    <s v="FL1726"/>
    <s v="Houston"/>
    <x v="4"/>
    <n v="7"/>
    <x v="2"/>
    <n v="48.938517657615897"/>
    <n v="89.374735583751502"/>
    <n v="2500"/>
    <n v="600"/>
    <n v="100"/>
    <x v="11"/>
  </r>
  <r>
    <s v="FL1727"/>
    <s v="Los Angeles"/>
    <x v="2"/>
    <n v="7"/>
    <x v="0"/>
    <n v="35.7487618101976"/>
    <n v="-65.660883531686196"/>
    <n v="3000"/>
    <n v="150"/>
    <n v="150"/>
    <x v="18"/>
  </r>
  <r>
    <s v="FL1728"/>
    <s v="Chicago"/>
    <x v="0"/>
    <n v="8"/>
    <x v="0"/>
    <n v="-115.431836295873"/>
    <n v="31.582088160556602"/>
    <n v="2583"/>
    <n v="397"/>
    <n v="133"/>
    <x v="2"/>
  </r>
  <r>
    <s v="FL1729"/>
    <s v="New York"/>
    <x v="2"/>
    <n v="9"/>
    <x v="1"/>
    <n v="73.850092405402805"/>
    <n v="-18.719826050589301"/>
    <n v="3500"/>
    <n v="150"/>
    <n v="50"/>
    <x v="13"/>
  </r>
  <r>
    <s v="FL1730"/>
    <s v="Miami"/>
    <x v="0"/>
    <n v="15"/>
    <x v="1"/>
    <n v="-16.138082975883702"/>
    <n v="-66.058236196680795"/>
    <n v="3500"/>
    <n v="600"/>
    <n v="150"/>
    <x v="1"/>
  </r>
  <r>
    <s v="FL1731"/>
    <s v="Miami"/>
    <x v="2"/>
    <n v="8"/>
    <x v="0"/>
    <n v="60.393812977134999"/>
    <n v="-61.427382592624298"/>
    <n v="2718"/>
    <n v="354"/>
    <n v="115"/>
    <x v="7"/>
  </r>
  <r>
    <s v="FL1732"/>
    <s v="Houston"/>
    <x v="1"/>
    <n v="12"/>
    <x v="0"/>
    <n v="121.452148717254"/>
    <n v="80.869159124211095"/>
    <n v="2000"/>
    <n v="356"/>
    <n v="100"/>
    <x v="12"/>
  </r>
  <r>
    <s v="FL1733"/>
    <s v="Los Angeles"/>
    <x v="1"/>
    <n v="8"/>
    <x v="0"/>
    <n v="-118.897765712308"/>
    <n v="68.328269408117194"/>
    <n v="3500"/>
    <n v="450"/>
    <n v="200"/>
    <x v="4"/>
  </r>
  <r>
    <s v="FL1734"/>
    <s v="New York"/>
    <x v="1"/>
    <n v="9"/>
    <x v="0"/>
    <n v="-173.10784752113901"/>
    <n v="73.267552874703895"/>
    <n v="2800"/>
    <n v="356"/>
    <n v="120"/>
    <x v="15"/>
  </r>
  <r>
    <s v="FL1735"/>
    <s v="Los Angeles"/>
    <x v="3"/>
    <n v="9"/>
    <x v="0"/>
    <n v="100.47693110248299"/>
    <n v="88.475899648929598"/>
    <n v="2760"/>
    <n v="150"/>
    <n v="50"/>
    <x v="10"/>
  </r>
  <r>
    <s v="FL1736"/>
    <s v="New York"/>
    <x v="0"/>
    <n v="7"/>
    <x v="1"/>
    <n v="39.491073054941801"/>
    <n v="-52.503229798466798"/>
    <n v="2500"/>
    <n v="150"/>
    <n v="100"/>
    <x v="24"/>
  </r>
  <r>
    <s v="FL1737"/>
    <s v="Houston"/>
    <x v="1"/>
    <n v="9"/>
    <x v="0"/>
    <n v="71.870245063963793"/>
    <n v="-26.020919274468898"/>
    <n v="2500"/>
    <n v="356"/>
    <n v="127"/>
    <x v="12"/>
  </r>
  <r>
    <s v="FL1738"/>
    <s v="Houston"/>
    <x v="3"/>
    <n v="9"/>
    <x v="2"/>
    <n v="121.735790995911"/>
    <n v="30.459425386475999"/>
    <n v="2846"/>
    <n v="374"/>
    <n v="100"/>
    <x v="8"/>
  </r>
  <r>
    <s v="FL1739"/>
    <s v="Miami"/>
    <x v="0"/>
    <n v="5"/>
    <x v="0"/>
    <n v="109.01193653682"/>
    <n v="-2.9155428250834898"/>
    <n v="3000"/>
    <n v="300"/>
    <n v="100"/>
    <x v="1"/>
  </r>
  <r>
    <s v="FL1740"/>
    <s v="Los Angeles"/>
    <x v="2"/>
    <n v="8"/>
    <x v="0"/>
    <n v="165.931252894377"/>
    <n v="-14.6898839919"/>
    <n v="2882"/>
    <n v="354"/>
    <n v="125"/>
    <x v="18"/>
  </r>
  <r>
    <s v="FL1741"/>
    <s v="Miami"/>
    <x v="3"/>
    <n v="8"/>
    <x v="0"/>
    <n v="12.9366283867625"/>
    <n v="-25.5939751195932"/>
    <n v="2615"/>
    <n v="374"/>
    <n v="121"/>
    <x v="14"/>
  </r>
  <r>
    <s v="FL1742"/>
    <s v="Los Angeles"/>
    <x v="4"/>
    <n v="7"/>
    <x v="0"/>
    <n v="-4.14157224243408"/>
    <n v="16.8805137498214"/>
    <n v="2794"/>
    <n v="150"/>
    <n v="150"/>
    <x v="22"/>
  </r>
  <r>
    <s v="FL1743"/>
    <s v="Miami"/>
    <x v="3"/>
    <n v="12"/>
    <x v="2"/>
    <n v="-35.320608039337202"/>
    <n v="13.606817155214801"/>
    <n v="3000"/>
    <n v="300"/>
    <n v="200"/>
    <x v="14"/>
  </r>
  <r>
    <s v="FL1744"/>
    <s v="Chicago"/>
    <x v="3"/>
    <n v="9"/>
    <x v="2"/>
    <n v="-124.671224576086"/>
    <n v="-60.937589868436802"/>
    <n v="2500"/>
    <n v="300"/>
    <n v="150"/>
    <x v="6"/>
  </r>
  <r>
    <s v="FL1745"/>
    <s v="Chicago"/>
    <x v="0"/>
    <n v="8"/>
    <x v="0"/>
    <n v="26.138603837528098"/>
    <n v="-5.0868292466809599"/>
    <n v="2583"/>
    <n v="397"/>
    <n v="133"/>
    <x v="2"/>
  </r>
  <r>
    <s v="FL1746"/>
    <s v="Chicago"/>
    <x v="2"/>
    <n v="10"/>
    <x v="1"/>
    <n v="-80.275491242647604"/>
    <n v="9.6249197177729808"/>
    <n v="3000"/>
    <n v="354"/>
    <n v="200"/>
    <x v="5"/>
  </r>
  <r>
    <s v="FL1747"/>
    <s v="Chicago"/>
    <x v="4"/>
    <n v="15"/>
    <x v="0"/>
    <n v="151.670704396671"/>
    <n v="12.6516489716503"/>
    <n v="2000"/>
    <n v="300"/>
    <n v="50"/>
    <x v="9"/>
  </r>
  <r>
    <s v="FL1748"/>
    <s v="New York"/>
    <x v="1"/>
    <n v="9"/>
    <x v="2"/>
    <n v="29.948689539755101"/>
    <n v="-52.180705275776702"/>
    <n v="3000"/>
    <n v="150"/>
    <n v="200"/>
    <x v="15"/>
  </r>
  <r>
    <s v="FL1749"/>
    <s v="Chicago"/>
    <x v="1"/>
    <n v="9"/>
    <x v="0"/>
    <n v="33.4224649829196"/>
    <n v="43.608850605411597"/>
    <n v="2678"/>
    <n v="356"/>
    <n v="137"/>
    <x v="17"/>
  </r>
  <r>
    <s v="FL1750"/>
    <s v="Houston"/>
    <x v="3"/>
    <n v="12"/>
    <x v="0"/>
    <n v="-52.227122084276402"/>
    <n v="-85.4641629322075"/>
    <n v="2846"/>
    <n v="300"/>
    <n v="150"/>
    <x v="8"/>
  </r>
  <r>
    <s v="FL1751"/>
    <s v="Houston"/>
    <x v="0"/>
    <n v="10"/>
    <x v="2"/>
    <n v="-161.28383328802499"/>
    <n v="-26.130266002230702"/>
    <n v="2550"/>
    <n v="397"/>
    <n v="50"/>
    <x v="0"/>
  </r>
  <r>
    <s v="FL1752"/>
    <s v="New York"/>
    <x v="0"/>
    <n v="9"/>
    <x v="0"/>
    <n v="-168.572244465724"/>
    <n v="50.438276736413997"/>
    <n v="3500"/>
    <n v="450"/>
    <n v="128"/>
    <x v="24"/>
  </r>
  <r>
    <s v="FL1753"/>
    <s v="Chicago"/>
    <x v="1"/>
    <n v="9"/>
    <x v="0"/>
    <n v="-27.5993481048489"/>
    <n v="11.5007257899724"/>
    <n v="2678"/>
    <n v="356"/>
    <n v="137"/>
    <x v="17"/>
  </r>
  <r>
    <s v="FL1754"/>
    <s v="Chicago"/>
    <x v="4"/>
    <n v="5"/>
    <x v="0"/>
    <n v="-149.556463884994"/>
    <n v="-42.990762148045199"/>
    <n v="3500"/>
    <n v="450"/>
    <n v="114"/>
    <x v="9"/>
  </r>
  <r>
    <s v="FL1755"/>
    <s v="Chicago"/>
    <x v="2"/>
    <n v="7"/>
    <x v="0"/>
    <n v="38.464903994450097"/>
    <n v="35.091561481748599"/>
    <n v="2928"/>
    <n v="600"/>
    <n v="150"/>
    <x v="5"/>
  </r>
  <r>
    <s v="FL1756"/>
    <s v="Miami"/>
    <x v="4"/>
    <n v="12"/>
    <x v="0"/>
    <n v="137.150282030277"/>
    <n v="12.1303699480932"/>
    <n v="2500"/>
    <n v="300"/>
    <n v="200"/>
    <x v="21"/>
  </r>
  <r>
    <s v="FL1757"/>
    <s v="Los Angeles"/>
    <x v="2"/>
    <n v="8"/>
    <x v="0"/>
    <n v="137.84933394673999"/>
    <n v="53.323849702149701"/>
    <n v="2882"/>
    <n v="354"/>
    <n v="125"/>
    <x v="18"/>
  </r>
  <r>
    <s v="FL1758"/>
    <s v="Miami"/>
    <x v="1"/>
    <n v="5"/>
    <x v="1"/>
    <n v="57.256347647603697"/>
    <n v="42.304533514168199"/>
    <n v="3000"/>
    <n v="356"/>
    <n v="105"/>
    <x v="3"/>
  </r>
  <r>
    <s v="FL1759"/>
    <s v="Los Angeles"/>
    <x v="2"/>
    <n v="7"/>
    <x v="0"/>
    <n v="-103.956540669745"/>
    <n v="19.8194259665222"/>
    <n v="2882"/>
    <n v="300"/>
    <n v="150"/>
    <x v="18"/>
  </r>
  <r>
    <s v="FL1760"/>
    <s v="Chicago"/>
    <x v="0"/>
    <n v="5"/>
    <x v="0"/>
    <n v="130.67885928919401"/>
    <n v="-2.1280184440534802"/>
    <n v="2583"/>
    <n v="150"/>
    <n v="200"/>
    <x v="2"/>
  </r>
  <r>
    <s v="FL1761"/>
    <s v="Chicago"/>
    <x v="3"/>
    <n v="9"/>
    <x v="0"/>
    <n v="138.99363671275501"/>
    <n v="-66.027217379845794"/>
    <n v="2678"/>
    <n v="374"/>
    <n v="116"/>
    <x v="6"/>
  </r>
  <r>
    <s v="FL1762"/>
    <s v="Miami"/>
    <x v="3"/>
    <n v="9"/>
    <x v="1"/>
    <n v="-109.204709416935"/>
    <n v="-42.9600567806309"/>
    <n v="2000"/>
    <n v="450"/>
    <n v="150"/>
    <x v="14"/>
  </r>
  <r>
    <s v="FL1763"/>
    <s v="Miami"/>
    <x v="1"/>
    <n v="12"/>
    <x v="0"/>
    <n v="85.473390877443805"/>
    <n v="-14.5620948749247"/>
    <n v="2000"/>
    <n v="600"/>
    <n v="200"/>
    <x v="3"/>
  </r>
  <r>
    <s v="FL1764"/>
    <s v="Los Angeles"/>
    <x v="0"/>
    <n v="10"/>
    <x v="0"/>
    <n v="-76.852962386235703"/>
    <n v="17.873871661150002"/>
    <n v="2586"/>
    <n v="397"/>
    <n v="119"/>
    <x v="23"/>
  </r>
  <r>
    <s v="FL1765"/>
    <s v="Houston"/>
    <x v="4"/>
    <n v="7"/>
    <x v="2"/>
    <n v="108.950512447055"/>
    <n v="2.4674139387548699"/>
    <n v="2500"/>
    <n v="450"/>
    <n v="150"/>
    <x v="11"/>
  </r>
  <r>
    <s v="FL1766"/>
    <s v="Los Angeles"/>
    <x v="0"/>
    <n v="12"/>
    <x v="0"/>
    <n v="179.005643965297"/>
    <n v="-38.126785327284701"/>
    <n v="3000"/>
    <n v="397"/>
    <n v="119"/>
    <x v="23"/>
  </r>
  <r>
    <s v="FL1767"/>
    <s v="Miami"/>
    <x v="3"/>
    <n v="8"/>
    <x v="0"/>
    <n v="-169.190638081419"/>
    <n v="-88.836415597852096"/>
    <n v="2615"/>
    <n v="374"/>
    <n v="121"/>
    <x v="14"/>
  </r>
  <r>
    <s v="FL1768"/>
    <s v="Miami"/>
    <x v="3"/>
    <n v="8"/>
    <x v="0"/>
    <n v="143.05171168473501"/>
    <n v="-0.67694005785348599"/>
    <n v="2500"/>
    <n v="450"/>
    <n v="200"/>
    <x v="14"/>
  </r>
  <r>
    <s v="FL1769"/>
    <s v="New York"/>
    <x v="0"/>
    <n v="12"/>
    <x v="2"/>
    <n v="44.1469920955169"/>
    <n v="-38.587322058796303"/>
    <n v="2500"/>
    <n v="450"/>
    <n v="200"/>
    <x v="24"/>
  </r>
  <r>
    <s v="FL1770"/>
    <s v="Miami"/>
    <x v="0"/>
    <n v="5"/>
    <x v="1"/>
    <n v="170.41774289933599"/>
    <n v="42.229494127896302"/>
    <n v="3000"/>
    <n v="450"/>
    <n v="200"/>
    <x v="1"/>
  </r>
  <r>
    <s v="FL1771"/>
    <s v="New York"/>
    <x v="3"/>
    <n v="9"/>
    <x v="1"/>
    <n v="-12.596573690486"/>
    <n v="-85.689672251312999"/>
    <n v="3500"/>
    <n v="150"/>
    <n v="150"/>
    <x v="16"/>
  </r>
  <r>
    <s v="FL1772"/>
    <s v="Houston"/>
    <x v="4"/>
    <n v="7"/>
    <x v="0"/>
    <n v="125.059655005694"/>
    <n v="15.2690060350424"/>
    <n v="2000"/>
    <n v="600"/>
    <n v="111"/>
    <x v="11"/>
  </r>
  <r>
    <s v="FL1773"/>
    <s v="Los Angeles"/>
    <x v="1"/>
    <n v="8"/>
    <x v="0"/>
    <n v="-157.53813530462"/>
    <n v="79.465362751091803"/>
    <n v="3000"/>
    <n v="356"/>
    <n v="145"/>
    <x v="4"/>
  </r>
  <r>
    <s v="FL1774"/>
    <s v="Los Angeles"/>
    <x v="1"/>
    <n v="8"/>
    <x v="0"/>
    <n v="-59.299541971813497"/>
    <n v="-58.606331919930099"/>
    <n v="3000"/>
    <n v="356"/>
    <n v="145"/>
    <x v="4"/>
  </r>
  <r>
    <s v="FL1775"/>
    <s v="New York"/>
    <x v="0"/>
    <n v="15"/>
    <x v="2"/>
    <n v="-155.87404640956399"/>
    <n v="-5.1030916648928297"/>
    <n v="2500"/>
    <n v="450"/>
    <n v="200"/>
    <x v="24"/>
  </r>
  <r>
    <s v="FL1776"/>
    <s v="Los Angeles"/>
    <x v="1"/>
    <n v="9"/>
    <x v="0"/>
    <n v="171.12352805246499"/>
    <n v="-73.544041472915097"/>
    <n v="3500"/>
    <n v="356"/>
    <n v="200"/>
    <x v="4"/>
  </r>
  <r>
    <s v="FL1777"/>
    <s v="Miami"/>
    <x v="3"/>
    <n v="8"/>
    <x v="0"/>
    <n v="114.110606617861"/>
    <n v="22.6227442070435"/>
    <n v="2615"/>
    <n v="374"/>
    <n v="121"/>
    <x v="14"/>
  </r>
  <r>
    <s v="FL1778"/>
    <s v="Chicago"/>
    <x v="3"/>
    <n v="9"/>
    <x v="0"/>
    <n v="126.917071648549"/>
    <n v="9.0957025073206097"/>
    <n v="2678"/>
    <n v="374"/>
    <n v="116"/>
    <x v="6"/>
  </r>
  <r>
    <s v="FL1779"/>
    <s v="New York"/>
    <x v="0"/>
    <n v="7"/>
    <x v="1"/>
    <n v="157.66748331620201"/>
    <n v="-16.6742056416902"/>
    <n v="2954"/>
    <n v="300"/>
    <n v="100"/>
    <x v="24"/>
  </r>
  <r>
    <s v="FL1780"/>
    <s v="Los Angeles"/>
    <x v="0"/>
    <n v="12"/>
    <x v="0"/>
    <n v="-149.36274499687701"/>
    <n v="3.8478638652734101"/>
    <n v="2500"/>
    <n v="450"/>
    <n v="100"/>
    <x v="23"/>
  </r>
  <r>
    <s v="FL1781"/>
    <s v="New York"/>
    <x v="0"/>
    <n v="12"/>
    <x v="0"/>
    <n v="-41.1848666952"/>
    <n v="71.383438524421805"/>
    <n v="2954"/>
    <n v="300"/>
    <n v="128"/>
    <x v="24"/>
  </r>
  <r>
    <s v="FL1782"/>
    <s v="New York"/>
    <x v="4"/>
    <n v="5"/>
    <x v="2"/>
    <n v="-154.427439944159"/>
    <n v="-54.667025584007902"/>
    <n v="3000"/>
    <n v="600"/>
    <n v="200"/>
    <x v="20"/>
  </r>
  <r>
    <s v="FL1783"/>
    <s v="Chicago"/>
    <x v="1"/>
    <n v="9"/>
    <x v="0"/>
    <n v="-104.11448344199"/>
    <n v="-85.9383878930375"/>
    <n v="2678"/>
    <n v="356"/>
    <n v="137"/>
    <x v="17"/>
  </r>
  <r>
    <s v="FL1784"/>
    <s v="Miami"/>
    <x v="0"/>
    <n v="15"/>
    <x v="2"/>
    <n v="-97.428320266438007"/>
    <n v="65.099679245838203"/>
    <n v="3500"/>
    <n v="600"/>
    <n v="150"/>
    <x v="1"/>
  </r>
  <r>
    <s v="FL1785"/>
    <s v="New York"/>
    <x v="2"/>
    <n v="15"/>
    <x v="0"/>
    <n v="-11.121404022871699"/>
    <n v="13.8810748298232"/>
    <n v="2847"/>
    <n v="600"/>
    <n v="150"/>
    <x v="13"/>
  </r>
  <r>
    <s v="FL1786"/>
    <s v="Los Angeles"/>
    <x v="2"/>
    <n v="5"/>
    <x v="0"/>
    <n v="-83.317619716688696"/>
    <n v="70.318521983131603"/>
    <n v="3500"/>
    <n v="600"/>
    <n v="50"/>
    <x v="18"/>
  </r>
  <r>
    <s v="FL1787"/>
    <s v="Houston"/>
    <x v="3"/>
    <n v="8"/>
    <x v="0"/>
    <n v="-143.647881545606"/>
    <n v="17.4501402143711"/>
    <n v="2846"/>
    <n v="374"/>
    <n v="138"/>
    <x v="8"/>
  </r>
  <r>
    <s v="FL1788"/>
    <s v="New York"/>
    <x v="1"/>
    <n v="7"/>
    <x v="1"/>
    <n v="-119.703207926121"/>
    <n v="55.828996192746402"/>
    <n v="2800"/>
    <n v="450"/>
    <n v="120"/>
    <x v="15"/>
  </r>
  <r>
    <s v="FL1789"/>
    <s v="New York"/>
    <x v="0"/>
    <n v="9"/>
    <x v="0"/>
    <n v="-126.98079712124699"/>
    <n v="-12.658794596073401"/>
    <n v="2954"/>
    <n v="397"/>
    <n v="128"/>
    <x v="24"/>
  </r>
  <r>
    <s v="FL1790"/>
    <s v="Chicago"/>
    <x v="2"/>
    <n v="12"/>
    <x v="0"/>
    <n v="170.307647248427"/>
    <n v="44.974787631888397"/>
    <n v="3500"/>
    <n v="450"/>
    <n v="200"/>
    <x v="5"/>
  </r>
  <r>
    <s v="FL1791"/>
    <s v="Miami"/>
    <x v="1"/>
    <n v="12"/>
    <x v="1"/>
    <n v="93.345302490650496"/>
    <n v="74.347464040174103"/>
    <n v="2931"/>
    <n v="450"/>
    <n v="105"/>
    <x v="3"/>
  </r>
  <r>
    <s v="FL1792"/>
    <s v="Houston"/>
    <x v="3"/>
    <n v="8"/>
    <x v="0"/>
    <n v="168.39412749704201"/>
    <n v="12.9821334699971"/>
    <n v="2846"/>
    <n v="374"/>
    <n v="138"/>
    <x v="8"/>
  </r>
  <r>
    <s v="FL1793"/>
    <s v="Los Angeles"/>
    <x v="4"/>
    <n v="12"/>
    <x v="1"/>
    <n v="-21.693424857152898"/>
    <n v="-57.458672898771702"/>
    <n v="3500"/>
    <n v="300"/>
    <n v="100"/>
    <x v="22"/>
  </r>
  <r>
    <s v="FL1794"/>
    <s v="Houston"/>
    <x v="1"/>
    <n v="7"/>
    <x v="1"/>
    <n v="-79.787346601443602"/>
    <n v="-41.616429294564298"/>
    <n v="3000"/>
    <n v="450"/>
    <n v="127"/>
    <x v="12"/>
  </r>
  <r>
    <s v="FL1795"/>
    <s v="Los Angeles"/>
    <x v="1"/>
    <n v="9"/>
    <x v="0"/>
    <n v="107.385550995307"/>
    <n v="-54.243976158466999"/>
    <n v="3000"/>
    <n v="356"/>
    <n v="100"/>
    <x v="4"/>
  </r>
  <r>
    <s v="FL1796"/>
    <s v="Miami"/>
    <x v="4"/>
    <n v="9"/>
    <x v="0"/>
    <n v="-62.548589505187202"/>
    <n v="-45.565735032768103"/>
    <n v="2700"/>
    <n v="402"/>
    <n v="128"/>
    <x v="21"/>
  </r>
  <r>
    <s v="FL1797"/>
    <s v="Los Angeles"/>
    <x v="1"/>
    <n v="8"/>
    <x v="0"/>
    <n v="-72.221985466074599"/>
    <n v="-34.845219116813503"/>
    <n v="3000"/>
    <n v="356"/>
    <n v="145"/>
    <x v="4"/>
  </r>
  <r>
    <s v="FL1798"/>
    <s v="Chicago"/>
    <x v="3"/>
    <n v="9"/>
    <x v="0"/>
    <n v="-96.297842805180807"/>
    <n v="9.9240816155739306"/>
    <n v="2678"/>
    <n v="374"/>
    <n v="116"/>
    <x v="6"/>
  </r>
  <r>
    <s v="FL1799"/>
    <s v="Chicago"/>
    <x v="3"/>
    <n v="9"/>
    <x v="0"/>
    <n v="-133.31556783927499"/>
    <n v="15.8384933034899"/>
    <n v="2678"/>
    <n v="374"/>
    <n v="116"/>
    <x v="6"/>
  </r>
  <r>
    <s v="FL1800"/>
    <s v="Chicago"/>
    <x v="4"/>
    <n v="10"/>
    <x v="0"/>
    <n v="-87.673298033964201"/>
    <n v="-13.230045496464999"/>
    <n v="2636"/>
    <n v="402"/>
    <n v="114"/>
    <x v="9"/>
  </r>
  <r>
    <s v="FL1801"/>
    <s v="Chicago"/>
    <x v="0"/>
    <n v="8"/>
    <x v="0"/>
    <n v="-52.084890549400399"/>
    <n v="20.775740367750402"/>
    <n v="2500"/>
    <n v="450"/>
    <n v="50"/>
    <x v="2"/>
  </r>
  <r>
    <s v="FL1802"/>
    <s v="Houston"/>
    <x v="2"/>
    <n v="9"/>
    <x v="0"/>
    <n v="62.637914932462898"/>
    <n v="-75.316513389954096"/>
    <n v="2647"/>
    <n v="354"/>
    <n v="113"/>
    <x v="19"/>
  </r>
  <r>
    <s v="FL1803"/>
    <s v="Miami"/>
    <x v="0"/>
    <n v="12"/>
    <x v="1"/>
    <n v="-157.47665680099701"/>
    <n v="-74.1981173295312"/>
    <n v="3000"/>
    <n v="450"/>
    <n v="150"/>
    <x v="1"/>
  </r>
  <r>
    <s v="FL1804"/>
    <s v="Los Angeles"/>
    <x v="1"/>
    <n v="5"/>
    <x v="0"/>
    <n v="-104.217501720477"/>
    <n v="-59.070697135621501"/>
    <n v="3000"/>
    <n v="450"/>
    <n v="100"/>
    <x v="4"/>
  </r>
  <r>
    <s v="FL1805"/>
    <s v="Los Angeles"/>
    <x v="2"/>
    <n v="15"/>
    <x v="0"/>
    <n v="111.248510505003"/>
    <n v="3.2539496472620599"/>
    <n v="2000"/>
    <n v="600"/>
    <n v="50"/>
    <x v="18"/>
  </r>
  <r>
    <s v="FL1806"/>
    <s v="Chicago"/>
    <x v="4"/>
    <n v="12"/>
    <x v="1"/>
    <n v="-127.108107509842"/>
    <n v="-51.480957834303602"/>
    <n v="2000"/>
    <n v="600"/>
    <n v="150"/>
    <x v="9"/>
  </r>
  <r>
    <s v="FL1807"/>
    <s v="Chicago"/>
    <x v="4"/>
    <n v="9"/>
    <x v="0"/>
    <n v="-56.647747251892199"/>
    <n v="-39.008807371336097"/>
    <n v="3500"/>
    <n v="450"/>
    <n v="200"/>
    <x v="9"/>
  </r>
  <r>
    <s v="FL1808"/>
    <s v="New York"/>
    <x v="2"/>
    <n v="15"/>
    <x v="2"/>
    <n v="131.27721186893001"/>
    <n v="-17.9436894888611"/>
    <n v="2000"/>
    <n v="354"/>
    <n v="150"/>
    <x v="13"/>
  </r>
  <r>
    <s v="FL1809"/>
    <s v="Miami"/>
    <x v="3"/>
    <n v="12"/>
    <x v="0"/>
    <n v="-124.226887988361"/>
    <n v="56.1359023218684"/>
    <n v="3500"/>
    <n v="600"/>
    <n v="121"/>
    <x v="14"/>
  </r>
  <r>
    <s v="FL1810"/>
    <s v="Houston"/>
    <x v="2"/>
    <n v="9"/>
    <x v="0"/>
    <n v="-150.214739177452"/>
    <n v="-87.504815535685196"/>
    <n v="2647"/>
    <n v="354"/>
    <n v="113"/>
    <x v="19"/>
  </r>
  <r>
    <s v="FL1811"/>
    <s v="Los Angeles"/>
    <x v="1"/>
    <n v="8"/>
    <x v="0"/>
    <n v="-5.5663217711961002"/>
    <n v="26.888187642592001"/>
    <n v="3000"/>
    <n v="356"/>
    <n v="145"/>
    <x v="4"/>
  </r>
  <r>
    <s v="FL1812"/>
    <s v="New York"/>
    <x v="3"/>
    <n v="9"/>
    <x v="1"/>
    <n v="-71.128975939726899"/>
    <n v="30.397775587323402"/>
    <n v="3000"/>
    <n v="374"/>
    <n v="150"/>
    <x v="16"/>
  </r>
  <r>
    <s v="FL1813"/>
    <s v="New York"/>
    <x v="4"/>
    <n v="11"/>
    <x v="0"/>
    <n v="22.8270112141875"/>
    <n v="53.7580404641946"/>
    <n v="2588"/>
    <n v="402"/>
    <n v="134"/>
    <x v="20"/>
  </r>
  <r>
    <s v="FL1814"/>
    <s v="Los Angeles"/>
    <x v="2"/>
    <n v="9"/>
    <x v="0"/>
    <n v="109.369760574051"/>
    <n v="77.895529030856395"/>
    <n v="3000"/>
    <n v="450"/>
    <n v="50"/>
    <x v="18"/>
  </r>
  <r>
    <s v="FL1815"/>
    <s v="Houston"/>
    <x v="0"/>
    <n v="5"/>
    <x v="0"/>
    <n v="-130.626544265013"/>
    <n v="-86.3751871891278"/>
    <n v="2550"/>
    <n v="450"/>
    <n v="150"/>
    <x v="0"/>
  </r>
  <r>
    <s v="FL1816"/>
    <s v="New York"/>
    <x v="0"/>
    <n v="9"/>
    <x v="0"/>
    <n v="29.051670439542601"/>
    <n v="-62.318933007621098"/>
    <n v="2954"/>
    <n v="397"/>
    <n v="128"/>
    <x v="24"/>
  </r>
  <r>
    <s v="FL1817"/>
    <s v="New York"/>
    <x v="1"/>
    <n v="9"/>
    <x v="0"/>
    <n v="1.98315374035101"/>
    <n v="69.510832930078706"/>
    <n v="3500"/>
    <n v="600"/>
    <n v="150"/>
    <x v="15"/>
  </r>
  <r>
    <s v="FL1818"/>
    <s v="Miami"/>
    <x v="0"/>
    <n v="9"/>
    <x v="0"/>
    <n v="-128.13163703524799"/>
    <n v="-7.4666588063372403"/>
    <n v="2000"/>
    <n v="600"/>
    <n v="50"/>
    <x v="1"/>
  </r>
  <r>
    <s v="FL1819"/>
    <s v="Houston"/>
    <x v="2"/>
    <n v="5"/>
    <x v="2"/>
    <n v="44.639454790433703"/>
    <n v="11.626315008023401"/>
    <n v="2647"/>
    <n v="600"/>
    <n v="150"/>
    <x v="19"/>
  </r>
  <r>
    <s v="FL1820"/>
    <s v="New York"/>
    <x v="2"/>
    <n v="9"/>
    <x v="0"/>
    <n v="-81.489449570122204"/>
    <n v="29.344896670166499"/>
    <n v="2847"/>
    <n v="354"/>
    <n v="122"/>
    <x v="13"/>
  </r>
  <r>
    <s v="FL1821"/>
    <s v="Houston"/>
    <x v="0"/>
    <n v="15"/>
    <x v="1"/>
    <n v="-4.37964532415549"/>
    <n v="32.231988809214698"/>
    <n v="2550"/>
    <n v="397"/>
    <n v="100"/>
    <x v="0"/>
  </r>
  <r>
    <s v="FL1822"/>
    <s v="Los Angeles"/>
    <x v="2"/>
    <n v="8"/>
    <x v="0"/>
    <n v="-150.381963260258"/>
    <n v="77.713272596971507"/>
    <n v="2882"/>
    <n v="354"/>
    <n v="125"/>
    <x v="18"/>
  </r>
  <r>
    <s v="FL1823"/>
    <s v="Chicago"/>
    <x v="1"/>
    <n v="9"/>
    <x v="0"/>
    <n v="-14.5497394030957"/>
    <n v="89.450895134100506"/>
    <n v="2678"/>
    <n v="356"/>
    <n v="137"/>
    <x v="17"/>
  </r>
  <r>
    <s v="FL1824"/>
    <s v="New York"/>
    <x v="3"/>
    <n v="9"/>
    <x v="0"/>
    <n v="-69.673151504584695"/>
    <n v="39.628342967569203"/>
    <n v="2760"/>
    <n v="374"/>
    <n v="107"/>
    <x v="16"/>
  </r>
  <r>
    <s v="FL1825"/>
    <s v="Miami"/>
    <x v="1"/>
    <n v="7"/>
    <x v="1"/>
    <n v="116.057236026727"/>
    <n v="-38.300182343072798"/>
    <n v="3000"/>
    <n v="150"/>
    <n v="200"/>
    <x v="3"/>
  </r>
  <r>
    <s v="FL1826"/>
    <s v="Los Angeles"/>
    <x v="1"/>
    <n v="8"/>
    <x v="0"/>
    <n v="-159.48765828094699"/>
    <n v="68.355432412981898"/>
    <n v="3000"/>
    <n v="356"/>
    <n v="145"/>
    <x v="4"/>
  </r>
  <r>
    <s v="FL1827"/>
    <s v="Houston"/>
    <x v="2"/>
    <n v="9"/>
    <x v="0"/>
    <n v="-29.301381029401199"/>
    <n v="-81.140235382662894"/>
    <n v="2647"/>
    <n v="354"/>
    <n v="113"/>
    <x v="19"/>
  </r>
  <r>
    <s v="FL1828"/>
    <s v="Los Angeles"/>
    <x v="3"/>
    <n v="8"/>
    <x v="2"/>
    <n v="-14.964687312682299"/>
    <n v="-48.405446482590698"/>
    <n v="3000"/>
    <n v="450"/>
    <n v="200"/>
    <x v="10"/>
  </r>
  <r>
    <s v="FL1829"/>
    <s v="New York"/>
    <x v="2"/>
    <n v="9"/>
    <x v="0"/>
    <n v="81.002187467682703"/>
    <n v="71.529429143468704"/>
    <n v="2847"/>
    <n v="354"/>
    <n v="122"/>
    <x v="13"/>
  </r>
  <r>
    <s v="FL1830"/>
    <s v="Houston"/>
    <x v="4"/>
    <n v="9"/>
    <x v="2"/>
    <n v="26.7435270324759"/>
    <n v="-43.885527400916096"/>
    <n v="2500"/>
    <n v="402"/>
    <n v="111"/>
    <x v="11"/>
  </r>
  <r>
    <s v="FL1831"/>
    <s v="Chicago"/>
    <x v="2"/>
    <n v="9"/>
    <x v="1"/>
    <n v="60.196441389905203"/>
    <n v="-50.282809268085302"/>
    <n v="3000"/>
    <n v="300"/>
    <n v="50"/>
    <x v="5"/>
  </r>
  <r>
    <s v="FL1832"/>
    <s v="Los Angeles"/>
    <x v="2"/>
    <n v="15"/>
    <x v="0"/>
    <n v="99.737742834632201"/>
    <n v="-65.137447234755498"/>
    <n v="2000"/>
    <n v="300"/>
    <n v="200"/>
    <x v="18"/>
  </r>
  <r>
    <s v="FL1833"/>
    <s v="New York"/>
    <x v="2"/>
    <n v="5"/>
    <x v="0"/>
    <n v="130.393070516948"/>
    <n v="64.640116376444993"/>
    <n v="2847"/>
    <n v="150"/>
    <n v="50"/>
    <x v="13"/>
  </r>
  <r>
    <s v="FL1834"/>
    <s v="Miami"/>
    <x v="3"/>
    <n v="9"/>
    <x v="0"/>
    <n v="-67.004821179910607"/>
    <n v="1.04866543956064E-2"/>
    <n v="2500"/>
    <n v="450"/>
    <n v="150"/>
    <x v="14"/>
  </r>
  <r>
    <s v="FL1835"/>
    <s v="Houston"/>
    <x v="2"/>
    <n v="5"/>
    <x v="1"/>
    <n v="13.688173931005"/>
    <n v="31.480776549747901"/>
    <n v="3500"/>
    <n v="150"/>
    <n v="100"/>
    <x v="19"/>
  </r>
  <r>
    <s v="FL1836"/>
    <s v="Los Angeles"/>
    <x v="3"/>
    <n v="8"/>
    <x v="0"/>
    <n v="122.43890823811201"/>
    <n v="-46.9680508664947"/>
    <n v="2760"/>
    <n v="374"/>
    <n v="131"/>
    <x v="10"/>
  </r>
  <r>
    <s v="FL1837"/>
    <s v="Los Angeles"/>
    <x v="0"/>
    <n v="10"/>
    <x v="0"/>
    <n v="176.20240714741999"/>
    <n v="46.447275782018998"/>
    <n v="2586"/>
    <n v="397"/>
    <n v="119"/>
    <x v="23"/>
  </r>
  <r>
    <s v="FL1838"/>
    <s v="Chicago"/>
    <x v="4"/>
    <n v="12"/>
    <x v="2"/>
    <n v="140.22695197575499"/>
    <n v="46.800998093177697"/>
    <n v="2500"/>
    <n v="300"/>
    <n v="50"/>
    <x v="9"/>
  </r>
  <r>
    <s v="FL1839"/>
    <s v="Chicago"/>
    <x v="3"/>
    <n v="7"/>
    <x v="0"/>
    <n v="-46.271785455224297"/>
    <n v="-33.732355516505997"/>
    <n v="3500"/>
    <n v="450"/>
    <n v="50"/>
    <x v="6"/>
  </r>
  <r>
    <s v="FL1840"/>
    <s v="Miami"/>
    <x v="0"/>
    <n v="7"/>
    <x v="0"/>
    <n v="-109.740053801286"/>
    <n v="-16.077126058149101"/>
    <n v="3000"/>
    <n v="600"/>
    <n v="100"/>
    <x v="1"/>
  </r>
  <r>
    <s v="FL1841"/>
    <s v="Miami"/>
    <x v="3"/>
    <n v="8"/>
    <x v="0"/>
    <n v="-3.8186865336280702"/>
    <n v="-52.255750062563799"/>
    <n v="2000"/>
    <n v="600"/>
    <n v="50"/>
    <x v="14"/>
  </r>
  <r>
    <s v="FL1842"/>
    <s v="New York"/>
    <x v="3"/>
    <n v="9"/>
    <x v="1"/>
    <n v="86.990922660975201"/>
    <n v="85.780984198122795"/>
    <n v="3000"/>
    <n v="600"/>
    <n v="107"/>
    <x v="16"/>
  </r>
  <r>
    <s v="FL1843"/>
    <s v="New York"/>
    <x v="4"/>
    <n v="15"/>
    <x v="2"/>
    <n v="-2.6751345288128601"/>
    <n v="26.208463870514102"/>
    <n v="2000"/>
    <n v="402"/>
    <n v="134"/>
    <x v="20"/>
  </r>
  <r>
    <s v="FL1844"/>
    <s v="Miami"/>
    <x v="1"/>
    <n v="9"/>
    <x v="0"/>
    <n v="-6.0548892070793299"/>
    <n v="78.217898528792801"/>
    <n v="3000"/>
    <n v="300"/>
    <n v="50"/>
    <x v="3"/>
  </r>
  <r>
    <s v="FL1845"/>
    <s v="Miami"/>
    <x v="1"/>
    <n v="10"/>
    <x v="0"/>
    <n v="121.76295158944799"/>
    <n v="-35.390602146756002"/>
    <n v="2931"/>
    <n v="356"/>
    <n v="105"/>
    <x v="3"/>
  </r>
  <r>
    <s v="FL1846"/>
    <s v="Houston"/>
    <x v="3"/>
    <n v="12"/>
    <x v="0"/>
    <n v="-49.8946395358129"/>
    <n v="50.740364339440198"/>
    <n v="2500"/>
    <n v="374"/>
    <n v="200"/>
    <x v="8"/>
  </r>
  <r>
    <s v="FL1847"/>
    <s v="Chicago"/>
    <x v="2"/>
    <n v="15"/>
    <x v="2"/>
    <n v="129.526082932192"/>
    <n v="47.854555899253597"/>
    <n v="2928"/>
    <n v="150"/>
    <n v="121"/>
    <x v="5"/>
  </r>
  <r>
    <s v="FL1848"/>
    <s v="New York"/>
    <x v="0"/>
    <n v="5"/>
    <x v="1"/>
    <n v="-33.550271657379497"/>
    <n v="34.498017335977501"/>
    <n v="3500"/>
    <n v="600"/>
    <n v="50"/>
    <x v="24"/>
  </r>
  <r>
    <s v="FL1849"/>
    <s v="Chicago"/>
    <x v="2"/>
    <n v="10"/>
    <x v="0"/>
    <n v="-61.836081955797802"/>
    <n v="83.815015548024107"/>
    <n v="2928"/>
    <n v="354"/>
    <n v="121"/>
    <x v="5"/>
  </r>
  <r>
    <s v="FL1850"/>
    <s v="Chicago"/>
    <x v="2"/>
    <n v="10"/>
    <x v="0"/>
    <n v="-16.5636319681084"/>
    <n v="-19.160039500863199"/>
    <n v="3500"/>
    <n v="150"/>
    <n v="200"/>
    <x v="5"/>
  </r>
  <r>
    <s v="FL1851"/>
    <s v="Miami"/>
    <x v="3"/>
    <n v="7"/>
    <x v="2"/>
    <n v="94.480905122952706"/>
    <n v="-66.470881753843699"/>
    <n v="2000"/>
    <n v="450"/>
    <n v="100"/>
    <x v="14"/>
  </r>
  <r>
    <s v="FL1852"/>
    <s v="Houston"/>
    <x v="3"/>
    <n v="8"/>
    <x v="0"/>
    <n v="-134.639269968962"/>
    <n v="30.907594663930901"/>
    <n v="2846"/>
    <n v="374"/>
    <n v="138"/>
    <x v="8"/>
  </r>
  <r>
    <s v="FL1853"/>
    <s v="Los Angeles"/>
    <x v="3"/>
    <n v="9"/>
    <x v="0"/>
    <n v="-109.28908228607401"/>
    <n v="41.275764085897102"/>
    <n v="3500"/>
    <n v="300"/>
    <n v="100"/>
    <x v="10"/>
  </r>
  <r>
    <s v="FL1854"/>
    <s v="Houston"/>
    <x v="3"/>
    <n v="12"/>
    <x v="0"/>
    <n v="162.520137238713"/>
    <n v="13.510903222586601"/>
    <n v="2500"/>
    <n v="374"/>
    <n v="150"/>
    <x v="8"/>
  </r>
  <r>
    <s v="FL1855"/>
    <s v="Houston"/>
    <x v="1"/>
    <n v="12"/>
    <x v="1"/>
    <n v="-116.823014142711"/>
    <n v="-52.7727792359887"/>
    <n v="3000"/>
    <n v="300"/>
    <n v="100"/>
    <x v="12"/>
  </r>
  <r>
    <s v="FL1856"/>
    <s v="Chicago"/>
    <x v="3"/>
    <n v="5"/>
    <x v="0"/>
    <n v="24.3818344551796"/>
    <n v="0.80206950048396697"/>
    <n v="3500"/>
    <n v="450"/>
    <n v="50"/>
    <x v="6"/>
  </r>
  <r>
    <s v="FL1857"/>
    <s v="Houston"/>
    <x v="1"/>
    <n v="9"/>
    <x v="0"/>
    <n v="28.553207998297601"/>
    <n v="-33.805847417556699"/>
    <n v="2500"/>
    <n v="150"/>
    <n v="50"/>
    <x v="12"/>
  </r>
  <r>
    <s v="FL1858"/>
    <s v="New York"/>
    <x v="1"/>
    <n v="7"/>
    <x v="2"/>
    <n v="-3.73519366191187"/>
    <n v="-13.056024929995999"/>
    <n v="3500"/>
    <n v="300"/>
    <n v="150"/>
    <x v="15"/>
  </r>
  <r>
    <s v="FL1859"/>
    <s v="Chicago"/>
    <x v="3"/>
    <n v="9"/>
    <x v="0"/>
    <n v="52.108289487654702"/>
    <n v="26.1393436520395"/>
    <n v="2678"/>
    <n v="374"/>
    <n v="116"/>
    <x v="6"/>
  </r>
  <r>
    <s v="FL1860"/>
    <s v="New York"/>
    <x v="4"/>
    <n v="12"/>
    <x v="0"/>
    <n v="-97.262378712857398"/>
    <n v="44.138653684350203"/>
    <n v="2000"/>
    <n v="600"/>
    <n v="150"/>
    <x v="20"/>
  </r>
  <r>
    <s v="FL1861"/>
    <s v="Los Angeles"/>
    <x v="0"/>
    <n v="5"/>
    <x v="0"/>
    <n v="18.9584163996294"/>
    <n v="-48.199555637758202"/>
    <n v="2000"/>
    <n v="150"/>
    <n v="150"/>
    <x v="23"/>
  </r>
  <r>
    <s v="FL1862"/>
    <s v="Chicago"/>
    <x v="2"/>
    <n v="15"/>
    <x v="1"/>
    <n v="-46.017628111116998"/>
    <n v="-17.0414350835484"/>
    <n v="3500"/>
    <n v="450"/>
    <n v="50"/>
    <x v="5"/>
  </r>
  <r>
    <s v="FL1863"/>
    <s v="Los Angeles"/>
    <x v="1"/>
    <n v="7"/>
    <x v="0"/>
    <n v="58.200213466508103"/>
    <n v="-41.550917221506701"/>
    <n v="2500"/>
    <n v="600"/>
    <n v="145"/>
    <x v="4"/>
  </r>
  <r>
    <s v="FL1864"/>
    <s v="Chicago"/>
    <x v="0"/>
    <n v="8"/>
    <x v="2"/>
    <n v="-129.159524385666"/>
    <n v="-54.246309504863603"/>
    <n v="2583"/>
    <n v="600"/>
    <n v="150"/>
    <x v="2"/>
  </r>
  <r>
    <s v="FL1865"/>
    <s v="Miami"/>
    <x v="4"/>
    <n v="9"/>
    <x v="0"/>
    <n v="25.515870062211398"/>
    <n v="51.009699599250901"/>
    <n v="2700"/>
    <n v="402"/>
    <n v="128"/>
    <x v="21"/>
  </r>
  <r>
    <s v="FL1866"/>
    <s v="Houston"/>
    <x v="2"/>
    <n v="9"/>
    <x v="0"/>
    <n v="-113.302672062003"/>
    <n v="73.665484998658599"/>
    <n v="2647"/>
    <n v="354"/>
    <n v="113"/>
    <x v="19"/>
  </r>
  <r>
    <s v="FL1867"/>
    <s v="Miami"/>
    <x v="2"/>
    <n v="8"/>
    <x v="0"/>
    <n v="-79.688497278586894"/>
    <n v="-23.358206576776201"/>
    <n v="2718"/>
    <n v="354"/>
    <n v="115"/>
    <x v="7"/>
  </r>
  <r>
    <s v="FL1868"/>
    <s v="Los Angeles"/>
    <x v="1"/>
    <n v="8"/>
    <x v="0"/>
    <n v="-101.26447188351"/>
    <n v="45.230206387278002"/>
    <n v="3000"/>
    <n v="356"/>
    <n v="145"/>
    <x v="4"/>
  </r>
  <r>
    <s v="FL1869"/>
    <s v="Houston"/>
    <x v="3"/>
    <n v="7"/>
    <x v="0"/>
    <n v="-114.178399247226"/>
    <n v="71.459152085593999"/>
    <n v="3500"/>
    <n v="450"/>
    <n v="200"/>
    <x v="8"/>
  </r>
  <r>
    <s v="FL1870"/>
    <s v="Chicago"/>
    <x v="4"/>
    <n v="15"/>
    <x v="0"/>
    <n v="117.25594256184"/>
    <n v="62.302357895441702"/>
    <n v="2500"/>
    <n v="600"/>
    <n v="200"/>
    <x v="9"/>
  </r>
  <r>
    <s v="FL1871"/>
    <s v="Houston"/>
    <x v="1"/>
    <n v="12"/>
    <x v="0"/>
    <n v="-77.145275642079497"/>
    <n v="-57.093590062939299"/>
    <n v="2500"/>
    <n v="356"/>
    <n v="127"/>
    <x v="12"/>
  </r>
  <r>
    <s v="FL1872"/>
    <s v="New York"/>
    <x v="4"/>
    <n v="11"/>
    <x v="0"/>
    <n v="153.764561471202"/>
    <n v="82.132538672405005"/>
    <n v="2588"/>
    <n v="402"/>
    <n v="134"/>
    <x v="20"/>
  </r>
  <r>
    <s v="FL1873"/>
    <s v="Houston"/>
    <x v="3"/>
    <n v="8"/>
    <x v="2"/>
    <n v="169.17354912426899"/>
    <n v="-22.198240722696699"/>
    <n v="3500"/>
    <n v="600"/>
    <n v="50"/>
    <x v="8"/>
  </r>
  <r>
    <s v="FL1874"/>
    <s v="New York"/>
    <x v="3"/>
    <n v="5"/>
    <x v="2"/>
    <n v="25.653769177354999"/>
    <n v="-28.936680988709501"/>
    <n v="2500"/>
    <n v="450"/>
    <n v="100"/>
    <x v="16"/>
  </r>
  <r>
    <s v="FL1875"/>
    <s v="Houston"/>
    <x v="1"/>
    <n v="15"/>
    <x v="0"/>
    <n v="-128.51959584033801"/>
    <n v="-78.762361089999501"/>
    <n v="2000"/>
    <n v="300"/>
    <n v="50"/>
    <x v="12"/>
  </r>
  <r>
    <s v="FL1876"/>
    <s v="New York"/>
    <x v="3"/>
    <n v="9"/>
    <x v="0"/>
    <n v="-45.162632383350697"/>
    <n v="-2.4887422611210601"/>
    <n v="3500"/>
    <n v="300"/>
    <n v="100"/>
    <x v="16"/>
  </r>
  <r>
    <s v="FL1877"/>
    <s v="Los Angeles"/>
    <x v="0"/>
    <n v="12"/>
    <x v="0"/>
    <n v="107.183614805357"/>
    <n v="-70.377549184632798"/>
    <n v="2000"/>
    <n v="600"/>
    <n v="100"/>
    <x v="23"/>
  </r>
  <r>
    <s v="FL1878"/>
    <s v="Miami"/>
    <x v="2"/>
    <n v="7"/>
    <x v="0"/>
    <n v="-47.739337669054599"/>
    <n v="-45.2628322330633"/>
    <n v="3000"/>
    <n v="300"/>
    <n v="150"/>
    <x v="7"/>
  </r>
  <r>
    <s v="FL1879"/>
    <s v="Chicago"/>
    <x v="1"/>
    <n v="9"/>
    <x v="0"/>
    <n v="-148.67380141099599"/>
    <n v="-32.950328081889403"/>
    <n v="2678"/>
    <n v="356"/>
    <n v="137"/>
    <x v="17"/>
  </r>
  <r>
    <s v="FL1880"/>
    <s v="Houston"/>
    <x v="4"/>
    <n v="9"/>
    <x v="1"/>
    <n v="20.4425679341477"/>
    <n v="55.588738228503097"/>
    <n v="3000"/>
    <n v="402"/>
    <n v="50"/>
    <x v="11"/>
  </r>
  <r>
    <s v="FL1881"/>
    <s v="Miami"/>
    <x v="0"/>
    <n v="7"/>
    <x v="0"/>
    <n v="124.243506538573"/>
    <n v="67.5879570712614"/>
    <n v="2500"/>
    <n v="600"/>
    <n v="126"/>
    <x v="1"/>
  </r>
  <r>
    <s v="FL1882"/>
    <s v="Chicago"/>
    <x v="1"/>
    <n v="7"/>
    <x v="0"/>
    <n v="106.53349937166099"/>
    <n v="-35.556062856935398"/>
    <n v="2500"/>
    <n v="450"/>
    <n v="200"/>
    <x v="17"/>
  </r>
  <r>
    <s v="FL1883"/>
    <s v="Chicago"/>
    <x v="3"/>
    <n v="9"/>
    <x v="0"/>
    <n v="-116.95566955307299"/>
    <n v="64.565661824023294"/>
    <n v="2678"/>
    <n v="374"/>
    <n v="116"/>
    <x v="6"/>
  </r>
  <r>
    <s v="FL1884"/>
    <s v="New York"/>
    <x v="3"/>
    <n v="9"/>
    <x v="0"/>
    <n v="62.195261188487997"/>
    <n v="64.301568726562394"/>
    <n v="2760"/>
    <n v="374"/>
    <n v="107"/>
    <x v="16"/>
  </r>
  <r>
    <s v="FL1885"/>
    <s v="Los Angeles"/>
    <x v="3"/>
    <n v="8"/>
    <x v="2"/>
    <n v="-100.618465163167"/>
    <n v="47.637171069277201"/>
    <n v="3000"/>
    <n v="150"/>
    <n v="200"/>
    <x v="10"/>
  </r>
  <r>
    <s v="FL1886"/>
    <s v="Los Angeles"/>
    <x v="3"/>
    <n v="5"/>
    <x v="2"/>
    <n v="-101.445287561218"/>
    <n v="-63.594879477267298"/>
    <n v="2500"/>
    <n v="150"/>
    <n v="50"/>
    <x v="10"/>
  </r>
  <r>
    <s v="FL1887"/>
    <s v="Miami"/>
    <x v="4"/>
    <n v="15"/>
    <x v="0"/>
    <n v="134.66583838986699"/>
    <n v="34.2581124421312"/>
    <n v="3500"/>
    <n v="300"/>
    <n v="200"/>
    <x v="21"/>
  </r>
  <r>
    <s v="FL1888"/>
    <s v="Los Angeles"/>
    <x v="0"/>
    <n v="12"/>
    <x v="0"/>
    <n v="-90.119177013517103"/>
    <n v="80.104331624502393"/>
    <n v="2500"/>
    <n v="300"/>
    <n v="50"/>
    <x v="23"/>
  </r>
  <r>
    <s v="FL1889"/>
    <s v="Houston"/>
    <x v="2"/>
    <n v="9"/>
    <x v="1"/>
    <n v="-85.230955253516001"/>
    <n v="32.857286178088302"/>
    <n v="2647"/>
    <n v="150"/>
    <n v="100"/>
    <x v="19"/>
  </r>
  <r>
    <s v="FL1890"/>
    <s v="Los Angeles"/>
    <x v="4"/>
    <n v="11"/>
    <x v="0"/>
    <n v="-179.76477932593201"/>
    <n v="-30.308967160589901"/>
    <n v="2500"/>
    <n v="402"/>
    <n v="150"/>
    <x v="22"/>
  </r>
  <r>
    <s v="FL1891"/>
    <s v="Miami"/>
    <x v="4"/>
    <n v="9"/>
    <x v="2"/>
    <n v="133.440852285186"/>
    <n v="0.10427713754963"/>
    <n v="3000"/>
    <n v="300"/>
    <n v="50"/>
    <x v="21"/>
  </r>
  <r>
    <s v="FL1892"/>
    <s v="Los Angeles"/>
    <x v="2"/>
    <n v="8"/>
    <x v="0"/>
    <n v="105.334132755288"/>
    <n v="26.2305078031896"/>
    <n v="2882"/>
    <n v="354"/>
    <n v="125"/>
    <x v="18"/>
  </r>
  <r>
    <s v="FL1893"/>
    <s v="Houston"/>
    <x v="2"/>
    <n v="9"/>
    <x v="0"/>
    <n v="45.838416632644098"/>
    <n v="1.9026735711306499"/>
    <n v="2647"/>
    <n v="354"/>
    <n v="113"/>
    <x v="19"/>
  </r>
  <r>
    <s v="FL1894"/>
    <s v="New York"/>
    <x v="3"/>
    <n v="9"/>
    <x v="0"/>
    <n v="90.095675017983197"/>
    <n v="-68.408470488425394"/>
    <n v="2760"/>
    <n v="374"/>
    <n v="107"/>
    <x v="16"/>
  </r>
  <r>
    <s v="FL1895"/>
    <s v="Miami"/>
    <x v="4"/>
    <n v="9"/>
    <x v="0"/>
    <n v="-125.262515727183"/>
    <n v="-33.8284719626363"/>
    <n v="2700"/>
    <n v="402"/>
    <n v="128"/>
    <x v="21"/>
  </r>
  <r>
    <s v="FL1896"/>
    <s v="New York"/>
    <x v="1"/>
    <n v="9"/>
    <x v="0"/>
    <n v="-15.0035059484728"/>
    <n v="54.431285499653903"/>
    <n v="2800"/>
    <n v="356"/>
    <n v="120"/>
    <x v="15"/>
  </r>
  <r>
    <s v="FL1897"/>
    <s v="New York"/>
    <x v="2"/>
    <n v="7"/>
    <x v="2"/>
    <n v="-53.561020554438898"/>
    <n v="65.055248297193103"/>
    <n v="3500"/>
    <n v="300"/>
    <n v="50"/>
    <x v="13"/>
  </r>
  <r>
    <s v="FL1898"/>
    <s v="New York"/>
    <x v="2"/>
    <n v="9"/>
    <x v="2"/>
    <n v="-146.24045054747401"/>
    <n v="-65.285994111197397"/>
    <n v="2847"/>
    <n v="300"/>
    <n v="200"/>
    <x v="13"/>
  </r>
  <r>
    <s v="FL1899"/>
    <s v="Chicago"/>
    <x v="0"/>
    <n v="8"/>
    <x v="0"/>
    <n v="-4.9930253226273198"/>
    <n v="81.429615431770401"/>
    <n v="2583"/>
    <n v="397"/>
    <n v="133"/>
    <x v="2"/>
  </r>
  <r>
    <s v="FL1900"/>
    <s v="Chicago"/>
    <x v="1"/>
    <n v="9"/>
    <x v="0"/>
    <n v="151.466274123349"/>
    <n v="-30.811928787250299"/>
    <n v="2678"/>
    <n v="356"/>
    <n v="137"/>
    <x v="17"/>
  </r>
  <r>
    <s v="FL1901"/>
    <s v="New York"/>
    <x v="1"/>
    <n v="9"/>
    <x v="0"/>
    <n v="-165.57871714174999"/>
    <n v="29.216472971529601"/>
    <n v="2800"/>
    <n v="356"/>
    <n v="120"/>
    <x v="15"/>
  </r>
  <r>
    <s v="FL1902"/>
    <s v="Miami"/>
    <x v="2"/>
    <n v="8"/>
    <x v="0"/>
    <n v="-75.074071142234203"/>
    <n v="45.328526272202602"/>
    <n v="2718"/>
    <n v="354"/>
    <n v="115"/>
    <x v="7"/>
  </r>
  <r>
    <s v="FL1903"/>
    <s v="Houston"/>
    <x v="3"/>
    <n v="8"/>
    <x v="0"/>
    <n v="-105.285262965947"/>
    <n v="56.150322234819001"/>
    <n v="2846"/>
    <n v="374"/>
    <n v="138"/>
    <x v="8"/>
  </r>
  <r>
    <s v="FL1904"/>
    <s v="Houston"/>
    <x v="0"/>
    <n v="10"/>
    <x v="0"/>
    <n v="-94.267204680349295"/>
    <n v="80.234946400667397"/>
    <n v="2550"/>
    <n v="397"/>
    <n v="120"/>
    <x v="0"/>
  </r>
  <r>
    <s v="FL1905"/>
    <s v="Los Angeles"/>
    <x v="1"/>
    <n v="9"/>
    <x v="1"/>
    <n v="147.03643867657499"/>
    <n v="-33.674481354811903"/>
    <n v="3500"/>
    <n v="300"/>
    <n v="145"/>
    <x v="4"/>
  </r>
  <r>
    <s v="FL1906"/>
    <s v="Miami"/>
    <x v="2"/>
    <n v="12"/>
    <x v="1"/>
    <n v="-11.4951404756555"/>
    <n v="64.531161819279802"/>
    <n v="3000"/>
    <n v="300"/>
    <n v="200"/>
    <x v="7"/>
  </r>
  <r>
    <s v="FL1907"/>
    <s v="Chicago"/>
    <x v="1"/>
    <n v="9"/>
    <x v="0"/>
    <n v="-12.132211341665201"/>
    <n v="-66.296357381482693"/>
    <n v="2678"/>
    <n v="356"/>
    <n v="137"/>
    <x v="17"/>
  </r>
  <r>
    <s v="FL1908"/>
    <s v="New York"/>
    <x v="0"/>
    <n v="5"/>
    <x v="0"/>
    <n v="93.807231283901601"/>
    <n v="36.907363143646698"/>
    <n v="2500"/>
    <n v="450"/>
    <n v="200"/>
    <x v="24"/>
  </r>
  <r>
    <s v="FL1909"/>
    <s v="Los Angeles"/>
    <x v="0"/>
    <n v="10"/>
    <x v="0"/>
    <n v="-124.382806558227"/>
    <n v="43.555991312517399"/>
    <n v="2000"/>
    <n v="600"/>
    <n v="100"/>
    <x v="23"/>
  </r>
  <r>
    <s v="FL1910"/>
    <s v="Houston"/>
    <x v="4"/>
    <n v="8"/>
    <x v="0"/>
    <n v="-4.5844725239817299"/>
    <n v="31.990183416237699"/>
    <n v="2500"/>
    <n v="402"/>
    <n v="111"/>
    <x v="11"/>
  </r>
  <r>
    <s v="FL1911"/>
    <s v="Chicago"/>
    <x v="2"/>
    <n v="9"/>
    <x v="0"/>
    <n v="-25.205322916418499"/>
    <n v="-44.583347495672498"/>
    <n v="2928"/>
    <n v="450"/>
    <n v="121"/>
    <x v="5"/>
  </r>
  <r>
    <s v="FL1912"/>
    <s v="Chicago"/>
    <x v="0"/>
    <n v="5"/>
    <x v="0"/>
    <n v="34.887848596796204"/>
    <n v="67.147766462736598"/>
    <n v="3000"/>
    <n v="397"/>
    <n v="200"/>
    <x v="2"/>
  </r>
  <r>
    <s v="FL1913"/>
    <s v="New York"/>
    <x v="4"/>
    <n v="15"/>
    <x v="0"/>
    <n v="179.840773170158"/>
    <n v="-59.605476593328902"/>
    <n v="2588"/>
    <n v="300"/>
    <n v="50"/>
    <x v="20"/>
  </r>
  <r>
    <s v="FL1914"/>
    <s v="Houston"/>
    <x v="4"/>
    <n v="8"/>
    <x v="0"/>
    <n v="97.001601869536998"/>
    <n v="-80.345737526250403"/>
    <n v="2500"/>
    <n v="402"/>
    <n v="111"/>
    <x v="11"/>
  </r>
  <r>
    <s v="FL1915"/>
    <s v="Miami"/>
    <x v="1"/>
    <n v="10"/>
    <x v="0"/>
    <n v="-36.768346913726198"/>
    <n v="39.143698310144202"/>
    <n v="3000"/>
    <n v="450"/>
    <n v="105"/>
    <x v="3"/>
  </r>
  <r>
    <s v="FL1916"/>
    <s v="Chicago"/>
    <x v="1"/>
    <n v="9"/>
    <x v="0"/>
    <n v="117.91909881865701"/>
    <n v="-4.4143712581079297"/>
    <n v="2678"/>
    <n v="356"/>
    <n v="137"/>
    <x v="17"/>
  </r>
  <r>
    <s v="FL1917"/>
    <s v="New York"/>
    <x v="4"/>
    <n v="11"/>
    <x v="0"/>
    <n v="-118.544989207507"/>
    <n v="62.837643592561697"/>
    <n v="2588"/>
    <n v="402"/>
    <n v="134"/>
    <x v="20"/>
  </r>
  <r>
    <s v="FL1918"/>
    <s v="Miami"/>
    <x v="1"/>
    <n v="10"/>
    <x v="0"/>
    <n v="-169.033072928774"/>
    <n v="-20.988514609513398"/>
    <n v="2931"/>
    <n v="356"/>
    <n v="105"/>
    <x v="3"/>
  </r>
  <r>
    <s v="FL1919"/>
    <s v="Houston"/>
    <x v="0"/>
    <n v="12"/>
    <x v="2"/>
    <n v="-106.398585912862"/>
    <n v="-59.709854068611698"/>
    <n v="2000"/>
    <n v="300"/>
    <n v="100"/>
    <x v="0"/>
  </r>
  <r>
    <s v="FL1920"/>
    <s v="Chicago"/>
    <x v="3"/>
    <n v="5"/>
    <x v="2"/>
    <n v="-57.451839798866501"/>
    <n v="60.559594644576499"/>
    <n v="2678"/>
    <n v="150"/>
    <n v="50"/>
    <x v="6"/>
  </r>
  <r>
    <s v="FL1921"/>
    <s v="Miami"/>
    <x v="0"/>
    <n v="5"/>
    <x v="0"/>
    <n v="3.8090726854415502"/>
    <n v="8.8037336952128999"/>
    <n v="3000"/>
    <n v="397"/>
    <n v="150"/>
    <x v="1"/>
  </r>
  <r>
    <s v="FL1922"/>
    <s v="Miami"/>
    <x v="4"/>
    <n v="9"/>
    <x v="0"/>
    <n v="41.4464905948319"/>
    <n v="-55.944757369736102"/>
    <n v="2700"/>
    <n v="402"/>
    <n v="128"/>
    <x v="21"/>
  </r>
  <r>
    <s v="FL1923"/>
    <s v="Miami"/>
    <x v="4"/>
    <n v="9"/>
    <x v="0"/>
    <n v="147.81805819719199"/>
    <n v="39.669119745560202"/>
    <n v="2700"/>
    <n v="402"/>
    <n v="128"/>
    <x v="21"/>
  </r>
  <r>
    <s v="FL1924"/>
    <s v="Chicago"/>
    <x v="0"/>
    <n v="8"/>
    <x v="0"/>
    <n v="3.5474434381647799"/>
    <n v="2.0004549281100998"/>
    <n v="2583"/>
    <n v="397"/>
    <n v="133"/>
    <x v="2"/>
  </r>
  <r>
    <s v="FL1925"/>
    <s v="Chicago"/>
    <x v="1"/>
    <n v="9"/>
    <x v="0"/>
    <n v="0.45923206526256899"/>
    <n v="18.7763368032576"/>
    <n v="2678"/>
    <n v="356"/>
    <n v="137"/>
    <x v="17"/>
  </r>
  <r>
    <s v="FL1926"/>
    <s v="Los Angeles"/>
    <x v="1"/>
    <n v="9"/>
    <x v="1"/>
    <n v="-161.91251646372601"/>
    <n v="-7.0382991228152596"/>
    <n v="3000"/>
    <n v="150"/>
    <n v="50"/>
    <x v="4"/>
  </r>
  <r>
    <s v="FL1927"/>
    <s v="Houston"/>
    <x v="4"/>
    <n v="5"/>
    <x v="0"/>
    <n v="-167.43184104375899"/>
    <n v="59.167617087241098"/>
    <n v="3000"/>
    <n v="450"/>
    <n v="150"/>
    <x v="11"/>
  </r>
  <r>
    <s v="FL1928"/>
    <s v="New York"/>
    <x v="2"/>
    <n v="9"/>
    <x v="0"/>
    <n v="18.417586289893901"/>
    <n v="59.321288822949001"/>
    <n v="2000"/>
    <n v="450"/>
    <n v="122"/>
    <x v="13"/>
  </r>
  <r>
    <s v="FL1929"/>
    <s v="Miami"/>
    <x v="1"/>
    <n v="9"/>
    <x v="0"/>
    <n v="-22.255699230596001"/>
    <n v="37.689987928389499"/>
    <n v="3500"/>
    <n v="300"/>
    <n v="105"/>
    <x v="3"/>
  </r>
  <r>
    <s v="FL1930"/>
    <s v="Los Angeles"/>
    <x v="0"/>
    <n v="9"/>
    <x v="2"/>
    <n v="122.104942192908"/>
    <n v="-71.027752068636801"/>
    <n v="2000"/>
    <n v="600"/>
    <n v="50"/>
    <x v="23"/>
  </r>
  <r>
    <s v="FL1931"/>
    <s v="New York"/>
    <x v="1"/>
    <n v="9"/>
    <x v="0"/>
    <n v="-122.15534950373601"/>
    <n v="60.993695142732399"/>
    <n v="3000"/>
    <n v="450"/>
    <n v="150"/>
    <x v="15"/>
  </r>
  <r>
    <s v="FL1932"/>
    <s v="Los Angeles"/>
    <x v="0"/>
    <n v="9"/>
    <x v="1"/>
    <n v="-171.010201637862"/>
    <n v="30.782336495923801"/>
    <n v="2000"/>
    <n v="450"/>
    <n v="150"/>
    <x v="23"/>
  </r>
  <r>
    <s v="FL1933"/>
    <s v="Chicago"/>
    <x v="4"/>
    <n v="7"/>
    <x v="2"/>
    <n v="-18.3460435451547"/>
    <n v="35.464349880773902"/>
    <n v="2000"/>
    <n v="600"/>
    <n v="50"/>
    <x v="9"/>
  </r>
  <r>
    <s v="FL1934"/>
    <s v="Miami"/>
    <x v="1"/>
    <n v="10"/>
    <x v="0"/>
    <n v="-94.507719569187302"/>
    <n v="-24.663088727303101"/>
    <n v="2931"/>
    <n v="356"/>
    <n v="105"/>
    <x v="3"/>
  </r>
  <r>
    <s v="FL1935"/>
    <s v="New York"/>
    <x v="0"/>
    <n v="9"/>
    <x v="0"/>
    <n v="-162.138825598019"/>
    <n v="68.270320108261203"/>
    <n v="2954"/>
    <n v="397"/>
    <n v="128"/>
    <x v="24"/>
  </r>
  <r>
    <s v="FL1936"/>
    <s v="New York"/>
    <x v="4"/>
    <n v="11"/>
    <x v="0"/>
    <n v="80.855383265146401"/>
    <n v="40.5668880422743"/>
    <n v="2588"/>
    <n v="402"/>
    <n v="134"/>
    <x v="20"/>
  </r>
  <r>
    <s v="FL1937"/>
    <s v="New York"/>
    <x v="2"/>
    <n v="12"/>
    <x v="1"/>
    <n v="-139.826520015391"/>
    <n v="-69.733716024744993"/>
    <n v="3500"/>
    <n v="300"/>
    <n v="50"/>
    <x v="13"/>
  </r>
  <r>
    <s v="FL1938"/>
    <s v="New York"/>
    <x v="0"/>
    <n v="9"/>
    <x v="0"/>
    <n v="38.995020002797801"/>
    <n v="-16.599953806890699"/>
    <n v="2954"/>
    <n v="397"/>
    <n v="128"/>
    <x v="24"/>
  </r>
  <r>
    <s v="FL1939"/>
    <s v="New York"/>
    <x v="2"/>
    <n v="9"/>
    <x v="0"/>
    <n v="-78.822089939919906"/>
    <n v="69.5484651528255"/>
    <n v="2847"/>
    <n v="354"/>
    <n v="122"/>
    <x v="13"/>
  </r>
  <r>
    <s v="FL1940"/>
    <s v="Los Angeles"/>
    <x v="2"/>
    <n v="9"/>
    <x v="2"/>
    <n v="-117.541421872192"/>
    <n v="-81.504593694471794"/>
    <n v="3500"/>
    <n v="354"/>
    <n v="50"/>
    <x v="18"/>
  </r>
  <r>
    <s v="FL1941"/>
    <s v="Miami"/>
    <x v="3"/>
    <n v="8"/>
    <x v="0"/>
    <n v="-43.289451749045703"/>
    <n v="83.054991535568902"/>
    <n v="2615"/>
    <n v="374"/>
    <n v="121"/>
    <x v="14"/>
  </r>
  <r>
    <s v="FL1942"/>
    <s v="Chicago"/>
    <x v="1"/>
    <n v="9"/>
    <x v="0"/>
    <n v="108.520479440263"/>
    <n v="32.249262297521298"/>
    <n v="2678"/>
    <n v="356"/>
    <n v="137"/>
    <x v="17"/>
  </r>
  <r>
    <s v="FL1943"/>
    <s v="Chicago"/>
    <x v="0"/>
    <n v="8"/>
    <x v="1"/>
    <n v="-38.846312314353803"/>
    <n v="23.6476759758078"/>
    <n v="2500"/>
    <n v="450"/>
    <n v="133"/>
    <x v="2"/>
  </r>
  <r>
    <s v="FL1944"/>
    <s v="Chicago"/>
    <x v="2"/>
    <n v="9"/>
    <x v="0"/>
    <n v="90.277073715980094"/>
    <n v="-41.299333832161601"/>
    <n v="3000"/>
    <n v="300"/>
    <n v="150"/>
    <x v="5"/>
  </r>
  <r>
    <s v="FL1945"/>
    <s v="Chicago"/>
    <x v="3"/>
    <n v="12"/>
    <x v="0"/>
    <n v="-134.82493315230599"/>
    <n v="-45.2174780269481"/>
    <n v="3000"/>
    <n v="600"/>
    <n v="100"/>
    <x v="6"/>
  </r>
  <r>
    <s v="FL1946"/>
    <s v="Los Angeles"/>
    <x v="4"/>
    <n v="11"/>
    <x v="0"/>
    <n v="98.197711079428501"/>
    <n v="79.570479507947198"/>
    <n v="2794"/>
    <n v="402"/>
    <n v="113"/>
    <x v="22"/>
  </r>
  <r>
    <s v="FL1947"/>
    <s v="Houston"/>
    <x v="0"/>
    <n v="10"/>
    <x v="0"/>
    <n v="-94.704003033606497"/>
    <n v="-36.310958237857903"/>
    <n v="2550"/>
    <n v="397"/>
    <n v="120"/>
    <x v="0"/>
  </r>
  <r>
    <s v="FL1948"/>
    <s v="Miami"/>
    <x v="2"/>
    <n v="8"/>
    <x v="0"/>
    <n v="63.861526759994199"/>
    <n v="49.590953409419903"/>
    <n v="2718"/>
    <n v="354"/>
    <n v="115"/>
    <x v="7"/>
  </r>
  <r>
    <s v="FL1949"/>
    <s v="New York"/>
    <x v="1"/>
    <n v="9"/>
    <x v="0"/>
    <n v="23.681359742758701"/>
    <n v="-19.238076322725799"/>
    <n v="2800"/>
    <n v="356"/>
    <n v="120"/>
    <x v="15"/>
  </r>
  <r>
    <s v="FL1950"/>
    <s v="Houston"/>
    <x v="3"/>
    <n v="8"/>
    <x v="0"/>
    <n v="154.49209819620799"/>
    <n v="-64.934267258753295"/>
    <n v="2846"/>
    <n v="374"/>
    <n v="138"/>
    <x v="8"/>
  </r>
  <r>
    <s v="FL1951"/>
    <s v="Chicago"/>
    <x v="2"/>
    <n v="10"/>
    <x v="1"/>
    <n v="-40.563893528887"/>
    <n v="-88.0712464148354"/>
    <n v="3500"/>
    <n v="300"/>
    <n v="200"/>
    <x v="5"/>
  </r>
  <r>
    <s v="FL1952"/>
    <s v="Houston"/>
    <x v="1"/>
    <n v="5"/>
    <x v="0"/>
    <n v="-156.180532019601"/>
    <n v="7.9663206627451499"/>
    <n v="2500"/>
    <n v="150"/>
    <n v="200"/>
    <x v="12"/>
  </r>
  <r>
    <s v="FL1953"/>
    <s v="Miami"/>
    <x v="2"/>
    <n v="9"/>
    <x v="0"/>
    <n v="-173.10402520154901"/>
    <n v="85.640187338807905"/>
    <n v="2000"/>
    <n v="300"/>
    <n v="115"/>
    <x v="7"/>
  </r>
  <r>
    <s v="FL1954"/>
    <s v="New York"/>
    <x v="0"/>
    <n v="9"/>
    <x v="2"/>
    <n v="117.669081950191"/>
    <n v="-23.555485114343199"/>
    <n v="2000"/>
    <n v="397"/>
    <n v="100"/>
    <x v="24"/>
  </r>
  <r>
    <s v="FL1955"/>
    <s v="New York"/>
    <x v="0"/>
    <n v="9"/>
    <x v="0"/>
    <n v="8.9048295581155799"/>
    <n v="-25.705379881251901"/>
    <n v="2954"/>
    <n v="150"/>
    <n v="128"/>
    <x v="24"/>
  </r>
  <r>
    <s v="FL1956"/>
    <s v="Miami"/>
    <x v="0"/>
    <n v="9"/>
    <x v="0"/>
    <n v="99.087858660581702"/>
    <n v="-28.0635087871004"/>
    <n v="2729"/>
    <n v="300"/>
    <n v="50"/>
    <x v="1"/>
  </r>
  <r>
    <s v="FL1957"/>
    <s v="Miami"/>
    <x v="3"/>
    <n v="7"/>
    <x v="0"/>
    <n v="-95.606783995854698"/>
    <n v="3.6978907148745201"/>
    <n v="3500"/>
    <n v="300"/>
    <n v="200"/>
    <x v="14"/>
  </r>
  <r>
    <s v="FL1958"/>
    <s v="Chicago"/>
    <x v="0"/>
    <n v="9"/>
    <x v="1"/>
    <n v="-55.769851615235901"/>
    <n v="-10.6803209836271"/>
    <n v="2583"/>
    <n v="600"/>
    <n v="50"/>
    <x v="2"/>
  </r>
  <r>
    <s v="FL1959"/>
    <s v="New York"/>
    <x v="1"/>
    <n v="9"/>
    <x v="0"/>
    <n v="-169.16260600392499"/>
    <n v="68.384632810862598"/>
    <n v="2800"/>
    <n v="356"/>
    <n v="120"/>
    <x v="15"/>
  </r>
  <r>
    <s v="FL1960"/>
    <s v="Houston"/>
    <x v="2"/>
    <n v="12"/>
    <x v="0"/>
    <n v="166.13723684668"/>
    <n v="0.99374251022825899"/>
    <n v="2000"/>
    <n v="600"/>
    <n v="100"/>
    <x v="19"/>
  </r>
  <r>
    <s v="FL1961"/>
    <s v="Los Angeles"/>
    <x v="4"/>
    <n v="12"/>
    <x v="0"/>
    <n v="60.432446412292798"/>
    <n v="1.3964108739423899"/>
    <n v="2000"/>
    <n v="150"/>
    <n v="50"/>
    <x v="22"/>
  </r>
  <r>
    <s v="FL1962"/>
    <s v="Los Angeles"/>
    <x v="1"/>
    <n v="15"/>
    <x v="1"/>
    <n v="155.95383159335"/>
    <n v="-65.093112950299798"/>
    <n v="3000"/>
    <n v="600"/>
    <n v="200"/>
    <x v="4"/>
  </r>
  <r>
    <s v="FL1963"/>
    <s v="Miami"/>
    <x v="1"/>
    <n v="10"/>
    <x v="0"/>
    <n v="-84.421293325533995"/>
    <n v="86.893117363869493"/>
    <n v="2931"/>
    <n v="356"/>
    <n v="105"/>
    <x v="3"/>
  </r>
  <r>
    <s v="FL1964"/>
    <s v="Chicago"/>
    <x v="0"/>
    <n v="5"/>
    <x v="1"/>
    <n v="40.126900041237903"/>
    <n v="-45.0048796436107"/>
    <n v="3000"/>
    <n v="450"/>
    <n v="200"/>
    <x v="2"/>
  </r>
  <r>
    <s v="FL1965"/>
    <s v="Los Angeles"/>
    <x v="3"/>
    <n v="9"/>
    <x v="1"/>
    <n v="64.259988585349603"/>
    <n v="-76.794467857271499"/>
    <n v="2760"/>
    <n v="450"/>
    <n v="100"/>
    <x v="10"/>
  </r>
  <r>
    <s v="FL1966"/>
    <s v="New York"/>
    <x v="2"/>
    <n v="12"/>
    <x v="0"/>
    <n v="-65.682107907268204"/>
    <n v="29.366324815537599"/>
    <n v="2500"/>
    <n v="150"/>
    <n v="200"/>
    <x v="13"/>
  </r>
  <r>
    <s v="FL1967"/>
    <s v="Miami"/>
    <x v="3"/>
    <n v="5"/>
    <x v="0"/>
    <n v="125.319324605627"/>
    <n v="17.165946628237101"/>
    <n v="3000"/>
    <n v="450"/>
    <n v="150"/>
    <x v="14"/>
  </r>
  <r>
    <s v="FL1968"/>
    <s v="Houston"/>
    <x v="2"/>
    <n v="12"/>
    <x v="1"/>
    <n v="160.978126644089"/>
    <n v="-15.273782281305801"/>
    <n v="2647"/>
    <n v="600"/>
    <n v="113"/>
    <x v="19"/>
  </r>
  <r>
    <s v="FL1969"/>
    <s v="Miami"/>
    <x v="2"/>
    <n v="9"/>
    <x v="0"/>
    <n v="138.54784237056199"/>
    <n v="-14.005397901478"/>
    <n v="2500"/>
    <n v="150"/>
    <n v="150"/>
    <x v="7"/>
  </r>
  <r>
    <s v="FL1970"/>
    <s v="Houston"/>
    <x v="3"/>
    <n v="12"/>
    <x v="0"/>
    <n v="86.064111338174101"/>
    <n v="51.3115057883576"/>
    <n v="2500"/>
    <n v="374"/>
    <n v="150"/>
    <x v="8"/>
  </r>
  <r>
    <s v="FL1971"/>
    <s v="Miami"/>
    <x v="1"/>
    <n v="10"/>
    <x v="1"/>
    <n v="-80.1127152990165"/>
    <n v="-54.771724782063202"/>
    <n v="3500"/>
    <n v="150"/>
    <n v="100"/>
    <x v="3"/>
  </r>
  <r>
    <s v="FL1972"/>
    <s v="Miami"/>
    <x v="2"/>
    <n v="8"/>
    <x v="0"/>
    <n v="-78.618224841972605"/>
    <n v="57.6455974100801"/>
    <n v="2500"/>
    <n v="150"/>
    <n v="50"/>
    <x v="7"/>
  </r>
  <r>
    <s v="FL1973"/>
    <s v="Miami"/>
    <x v="3"/>
    <n v="8"/>
    <x v="0"/>
    <n v="166.80971536057399"/>
    <n v="26.774480501103302"/>
    <n v="2615"/>
    <n v="374"/>
    <n v="121"/>
    <x v="14"/>
  </r>
  <r>
    <s v="FL1974"/>
    <s v="Houston"/>
    <x v="2"/>
    <n v="9"/>
    <x v="0"/>
    <n v="-176.297581463151"/>
    <n v="-14.5854407196856"/>
    <n v="2647"/>
    <n v="354"/>
    <n v="113"/>
    <x v="19"/>
  </r>
  <r>
    <s v="FL1975"/>
    <s v="Houston"/>
    <x v="4"/>
    <n v="8"/>
    <x v="0"/>
    <n v="77.777990367171995"/>
    <n v="-7.5548490149036498"/>
    <n v="2500"/>
    <n v="402"/>
    <n v="111"/>
    <x v="11"/>
  </r>
  <r>
    <s v="FL1976"/>
    <s v="Miami"/>
    <x v="1"/>
    <n v="5"/>
    <x v="2"/>
    <n v="74.248618519894407"/>
    <n v="-43.803502706502698"/>
    <n v="2931"/>
    <n v="450"/>
    <n v="200"/>
    <x v="3"/>
  </r>
  <r>
    <s v="FL1977"/>
    <s v="Los Angeles"/>
    <x v="0"/>
    <n v="10"/>
    <x v="0"/>
    <n v="44.168234741927101"/>
    <n v="45.380579885455496"/>
    <n v="2586"/>
    <n v="397"/>
    <n v="119"/>
    <x v="23"/>
  </r>
  <r>
    <s v="FL1978"/>
    <s v="Chicago"/>
    <x v="2"/>
    <n v="10"/>
    <x v="0"/>
    <n v="176.43918459127201"/>
    <n v="2.3174536149481901"/>
    <n v="2928"/>
    <n v="354"/>
    <n v="121"/>
    <x v="5"/>
  </r>
  <r>
    <s v="FL1979"/>
    <s v="Chicago"/>
    <x v="4"/>
    <n v="5"/>
    <x v="0"/>
    <n v="-67.723403125058894"/>
    <n v="-32.246182305028199"/>
    <n v="3500"/>
    <n v="600"/>
    <n v="50"/>
    <x v="9"/>
  </r>
  <r>
    <s v="FL1980"/>
    <s v="Chicago"/>
    <x v="0"/>
    <n v="12"/>
    <x v="1"/>
    <n v="-57.610129034430699"/>
    <n v="17.289020836971101"/>
    <n v="2000"/>
    <n v="300"/>
    <n v="200"/>
    <x v="2"/>
  </r>
  <r>
    <s v="FL1981"/>
    <s v="Houston"/>
    <x v="0"/>
    <n v="5"/>
    <x v="0"/>
    <n v="-151.58181493923999"/>
    <n v="89.232201369238098"/>
    <n v="2500"/>
    <n v="150"/>
    <n v="100"/>
    <x v="0"/>
  </r>
  <r>
    <s v="FL1982"/>
    <s v="Houston"/>
    <x v="2"/>
    <n v="9"/>
    <x v="0"/>
    <n v="-20.592670844254499"/>
    <n v="-11.6527896618203"/>
    <n v="2500"/>
    <n v="450"/>
    <n v="113"/>
    <x v="19"/>
  </r>
  <r>
    <s v="FL1983"/>
    <s v="Los Angeles"/>
    <x v="3"/>
    <n v="9"/>
    <x v="0"/>
    <n v="-86.022530555454694"/>
    <n v="75.724452140151499"/>
    <n v="2000"/>
    <n v="600"/>
    <n v="131"/>
    <x v="10"/>
  </r>
  <r>
    <s v="FL1984"/>
    <s v="Chicago"/>
    <x v="2"/>
    <n v="15"/>
    <x v="2"/>
    <n v="-56.380787216048098"/>
    <n v="-27.896968813578098"/>
    <n v="3500"/>
    <n v="300"/>
    <n v="100"/>
    <x v="5"/>
  </r>
  <r>
    <s v="FL1985"/>
    <s v="Chicago"/>
    <x v="4"/>
    <n v="10"/>
    <x v="0"/>
    <n v="120.445844492026"/>
    <n v="-80.148112753502502"/>
    <n v="2636"/>
    <n v="402"/>
    <n v="114"/>
    <x v="9"/>
  </r>
  <r>
    <s v="FL1986"/>
    <s v="Miami"/>
    <x v="0"/>
    <n v="9"/>
    <x v="0"/>
    <n v="156.77442486989801"/>
    <n v="-53.236420853682802"/>
    <n v="2729"/>
    <n v="397"/>
    <n v="126"/>
    <x v="1"/>
  </r>
  <r>
    <s v="FL1987"/>
    <s v="Houston"/>
    <x v="2"/>
    <n v="9"/>
    <x v="0"/>
    <n v="-113.136094078133"/>
    <n v="-14.6348742010168"/>
    <n v="3000"/>
    <n v="450"/>
    <n v="113"/>
    <x v="19"/>
  </r>
  <r>
    <s v="FL1988"/>
    <s v="Chicago"/>
    <x v="3"/>
    <n v="9"/>
    <x v="1"/>
    <n v="-45.896784640752301"/>
    <n v="-50.465712852977603"/>
    <n v="2678"/>
    <n v="150"/>
    <n v="200"/>
    <x v="6"/>
  </r>
  <r>
    <s v="FL1989"/>
    <s v="Los Angeles"/>
    <x v="2"/>
    <n v="8"/>
    <x v="0"/>
    <n v="154.307002361542"/>
    <n v="-89.959133120714"/>
    <n v="2882"/>
    <n v="354"/>
    <n v="125"/>
    <x v="18"/>
  </r>
  <r>
    <s v="FL1990"/>
    <s v="Los Angeles"/>
    <x v="1"/>
    <n v="8"/>
    <x v="0"/>
    <n v="-157.74895415188001"/>
    <n v="74.700276794554895"/>
    <n v="3000"/>
    <n v="356"/>
    <n v="145"/>
    <x v="4"/>
  </r>
  <r>
    <s v="FL1991"/>
    <s v="Chicago"/>
    <x v="3"/>
    <n v="9"/>
    <x v="0"/>
    <n v="-146.75020987990399"/>
    <n v="61.898294021567203"/>
    <n v="2678"/>
    <n v="374"/>
    <n v="116"/>
    <x v="6"/>
  </r>
  <r>
    <s v="FL1992"/>
    <s v="Houston"/>
    <x v="4"/>
    <n v="9"/>
    <x v="2"/>
    <n v="-121.395243885757"/>
    <n v="43.612601667650502"/>
    <n v="2000"/>
    <n v="300"/>
    <n v="50"/>
    <x v="11"/>
  </r>
  <r>
    <s v="FL1993"/>
    <s v="Los Angeles"/>
    <x v="0"/>
    <n v="12"/>
    <x v="0"/>
    <n v="34.276620285674902"/>
    <n v="-59.793372783714801"/>
    <n v="3500"/>
    <n v="600"/>
    <n v="100"/>
    <x v="23"/>
  </r>
  <r>
    <s v="FL1994"/>
    <s v="Miami"/>
    <x v="2"/>
    <n v="8"/>
    <x v="0"/>
    <n v="-125.829982437841"/>
    <n v="-68.334556282202499"/>
    <n v="2718"/>
    <n v="354"/>
    <n v="115"/>
    <x v="7"/>
  </r>
  <r>
    <s v="FL1995"/>
    <s v="Los Angeles"/>
    <x v="3"/>
    <n v="8"/>
    <x v="0"/>
    <n v="168.50749732226399"/>
    <n v="-77.831145094971006"/>
    <n v="2760"/>
    <n v="374"/>
    <n v="131"/>
    <x v="10"/>
  </r>
  <r>
    <s v="FL1996"/>
    <s v="New York"/>
    <x v="1"/>
    <n v="5"/>
    <x v="0"/>
    <n v="-19.1827701869327"/>
    <n v="40.325253979125797"/>
    <n v="2800"/>
    <n v="600"/>
    <n v="200"/>
    <x v="15"/>
  </r>
  <r>
    <s v="FL1997"/>
    <s v="New York"/>
    <x v="3"/>
    <n v="9"/>
    <x v="0"/>
    <n v="0.54646572605989296"/>
    <n v="77.185432923819306"/>
    <n v="2760"/>
    <n v="374"/>
    <n v="107"/>
    <x v="16"/>
  </r>
  <r>
    <s v="FL1998"/>
    <s v="Houston"/>
    <x v="1"/>
    <n v="9"/>
    <x v="0"/>
    <n v="-91.202898310053698"/>
    <n v="-12.5035522356533"/>
    <n v="2500"/>
    <n v="356"/>
    <n v="127"/>
    <x v="12"/>
  </r>
  <r>
    <s v="FL1999"/>
    <s v="Chicago"/>
    <x v="4"/>
    <n v="10"/>
    <x v="0"/>
    <n v="-10.4543091234959"/>
    <n v="-68.554679040711306"/>
    <n v="2000"/>
    <n v="150"/>
    <n v="100"/>
    <x v="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FL1000"/>
    <s v="Houston"/>
    <s v="Tokyo"/>
    <x v="0"/>
    <n v="30000"/>
    <n v="176.878044563119"/>
    <n v="29.144453874662101"/>
    <n v="2550"/>
    <n v="397"/>
    <n v="120"/>
    <x v="0"/>
    <x v="0"/>
  </r>
  <r>
    <s v="FL1001"/>
    <s v="Miami"/>
    <s v="Tokyo"/>
    <x v="1"/>
    <n v="30000"/>
    <n v="16.013639808094698"/>
    <n v="45.211884651727701"/>
    <n v="2729"/>
    <n v="397"/>
    <n v="50"/>
    <x v="1"/>
    <x v="1"/>
  </r>
  <r>
    <s v="FL1002"/>
    <s v="Chicago"/>
    <s v="Tokyo"/>
    <x v="2"/>
    <n v="30000"/>
    <n v="166.596606091154"/>
    <n v="45.696254887784299"/>
    <n v="2583"/>
    <n v="397"/>
    <n v="133"/>
    <x v="2"/>
    <x v="2"/>
  </r>
  <r>
    <s v="FL1003"/>
    <s v="Miami"/>
    <s v="Tokyo"/>
    <x v="1"/>
    <n v="30000"/>
    <n v="-152.78218537796999"/>
    <n v="14.020400284935899"/>
    <n v="2729"/>
    <n v="397"/>
    <n v="126"/>
    <x v="1"/>
    <x v="1"/>
  </r>
  <r>
    <s v="FL1004"/>
    <s v="Miami"/>
    <s v="Sydney"/>
    <x v="0"/>
    <n v="35000"/>
    <n v="-48.354930625906299"/>
    <n v="72.784759498894303"/>
    <n v="3000"/>
    <n v="356"/>
    <n v="105"/>
    <x v="3"/>
    <x v="3"/>
  </r>
  <r>
    <s v="FL1005"/>
    <s v="Los Angeles"/>
    <s v="Sydney"/>
    <x v="2"/>
    <n v="30000"/>
    <n v="-98.862743517564297"/>
    <n v="57.1334125150997"/>
    <n v="3000"/>
    <n v="356"/>
    <n v="145"/>
    <x v="4"/>
    <x v="4"/>
  </r>
  <r>
    <s v="FL1006"/>
    <s v="Chicago"/>
    <s v="Paris"/>
    <x v="0"/>
    <n v="30000"/>
    <n v="-109.50008971166299"/>
    <n v="46.268660645752597"/>
    <n v="2928"/>
    <n v="354"/>
    <n v="121"/>
    <x v="5"/>
    <x v="5"/>
  </r>
  <r>
    <s v="FL1007"/>
    <s v="Chicago"/>
    <s v="London"/>
    <x v="1"/>
    <n v="30000"/>
    <n v="-129.31093839863701"/>
    <n v="-79.991006097517101"/>
    <n v="2678"/>
    <n v="374"/>
    <n v="116"/>
    <x v="6"/>
    <x v="6"/>
  </r>
  <r>
    <s v="FL1008"/>
    <s v="Chicago"/>
    <s v="Tokyo"/>
    <x v="2"/>
    <n v="30000"/>
    <n v="44.068910963758803"/>
    <n v="-88.7619668004631"/>
    <n v="2500"/>
    <n v="450"/>
    <n v="100"/>
    <x v="2"/>
    <x v="7"/>
  </r>
  <r>
    <s v="FL1009"/>
    <s v="Miami"/>
    <s v="Paris"/>
    <x v="2"/>
    <n v="30000"/>
    <n v="101.27586806903"/>
    <n v="-51.759490104814901"/>
    <n v="2718"/>
    <n v="354"/>
    <n v="115"/>
    <x v="7"/>
    <x v="8"/>
  </r>
  <r>
    <s v="FL1010"/>
    <s v="Houston"/>
    <s v="London"/>
    <x v="2"/>
    <n v="30000"/>
    <n v="28.187423791329799"/>
    <n v="29.4342469044214"/>
    <n v="2846"/>
    <n v="374"/>
    <n v="138"/>
    <x v="8"/>
    <x v="9"/>
  </r>
  <r>
    <s v="FL1011"/>
    <s v="Chicago"/>
    <s v="Dubai"/>
    <x v="1"/>
    <n v="30000"/>
    <n v="-127.093424548244"/>
    <n v="-15.984452001141801"/>
    <n v="3500"/>
    <n v="150"/>
    <n v="114"/>
    <x v="9"/>
    <x v="10"/>
  </r>
  <r>
    <s v="FL1012"/>
    <s v="Miami"/>
    <s v="Sydney"/>
    <x v="3"/>
    <n v="35000"/>
    <n v="112.00455717605"/>
    <n v="-17.566873326123901"/>
    <n v="2500"/>
    <n v="450"/>
    <n v="50"/>
    <x v="3"/>
    <x v="11"/>
  </r>
  <r>
    <s v="FL1013"/>
    <s v="Los Angeles"/>
    <s v="London"/>
    <x v="4"/>
    <n v="35000"/>
    <n v="48.943694578942299"/>
    <n v="69.225639881330494"/>
    <n v="2500"/>
    <n v="300"/>
    <n v="200"/>
    <x v="10"/>
    <x v="12"/>
  </r>
  <r>
    <s v="FL1014"/>
    <s v="Houston"/>
    <s v="Dubai"/>
    <x v="1"/>
    <n v="30000"/>
    <n v="-40.260345794281598"/>
    <n v="71.201312663731002"/>
    <n v="2500"/>
    <n v="600"/>
    <n v="50"/>
    <x v="11"/>
    <x v="13"/>
  </r>
  <r>
    <s v="FL1015"/>
    <s v="Los Angeles"/>
    <s v="London"/>
    <x v="4"/>
    <n v="32000"/>
    <n v="62.686906392982699"/>
    <n v="73.651547529645399"/>
    <n v="2000"/>
    <n v="300"/>
    <n v="100"/>
    <x v="10"/>
    <x v="12"/>
  </r>
  <r>
    <s v="FL1016"/>
    <s v="Houston"/>
    <s v="Sydney"/>
    <x v="1"/>
    <n v="32000"/>
    <n v="-86.434207472580198"/>
    <n v="-33.5019462272951"/>
    <n v="2500"/>
    <n v="356"/>
    <n v="50"/>
    <x v="12"/>
    <x v="14"/>
  </r>
  <r>
    <s v="FL1017"/>
    <s v="Miami"/>
    <s v="Sydney"/>
    <x v="3"/>
    <n v="30000"/>
    <n v="-55.730804942084198"/>
    <n v="34.390046293067101"/>
    <n v="2500"/>
    <n v="150"/>
    <n v="50"/>
    <x v="3"/>
    <x v="15"/>
  </r>
  <r>
    <s v="FL1018"/>
    <s v="New York"/>
    <s v="Paris"/>
    <x v="5"/>
    <n v="35000"/>
    <n v="150.29490352751699"/>
    <n v="-41.106027370613504"/>
    <n v="2847"/>
    <n v="450"/>
    <n v="50"/>
    <x v="13"/>
    <x v="16"/>
  </r>
  <r>
    <s v="FL1019"/>
    <s v="Houston"/>
    <s v="Tokyo"/>
    <x v="5"/>
    <n v="30000"/>
    <n v="-75.418377958288701"/>
    <n v="-55.690230046598998"/>
    <n v="2000"/>
    <n v="397"/>
    <n v="150"/>
    <x v="0"/>
    <x v="17"/>
  </r>
  <r>
    <s v="FL1020"/>
    <s v="Los Angeles"/>
    <s v="London"/>
    <x v="1"/>
    <n v="30000"/>
    <n v="-10.804223463142799"/>
    <n v="-56.766157677473501"/>
    <n v="2760"/>
    <n v="600"/>
    <n v="150"/>
    <x v="10"/>
    <x v="13"/>
  </r>
  <r>
    <s v="FL1021"/>
    <s v="Miami"/>
    <s v="London"/>
    <x v="6"/>
    <n v="30000"/>
    <n v="140.45080946256499"/>
    <n v="-28.4206282445531"/>
    <n v="3000"/>
    <n v="374"/>
    <n v="200"/>
    <x v="14"/>
    <x v="18"/>
  </r>
  <r>
    <s v="FL1022"/>
    <s v="Houston"/>
    <s v="Dubai"/>
    <x v="2"/>
    <n v="30000"/>
    <n v="74.779686096309902"/>
    <n v="-12.6076284396321"/>
    <n v="2500"/>
    <n v="402"/>
    <n v="100"/>
    <x v="11"/>
    <x v="19"/>
  </r>
  <r>
    <s v="FL1023"/>
    <s v="New York"/>
    <s v="Sydney"/>
    <x v="1"/>
    <n v="30000"/>
    <n v="-157.60683858070701"/>
    <n v="59.570850789912299"/>
    <n v="2800"/>
    <n v="356"/>
    <n v="120"/>
    <x v="15"/>
    <x v="14"/>
  </r>
  <r>
    <s v="FL1024"/>
    <s v="New York"/>
    <s v="London"/>
    <x v="6"/>
    <n v="35000"/>
    <n v="-126.970904059571"/>
    <n v="-68.419603174911799"/>
    <n v="2000"/>
    <n v="374"/>
    <n v="50"/>
    <x v="16"/>
    <x v="18"/>
  </r>
  <r>
    <s v="FL1025"/>
    <s v="Chicago"/>
    <s v="Sydney"/>
    <x v="1"/>
    <n v="30000"/>
    <n v="-177.17702732211001"/>
    <n v="42.286652531081003"/>
    <n v="2678"/>
    <n v="356"/>
    <n v="137"/>
    <x v="17"/>
    <x v="14"/>
  </r>
  <r>
    <s v="FL1026"/>
    <s v="Chicago"/>
    <s v="London"/>
    <x v="1"/>
    <n v="30000"/>
    <n v="47.131844482498799"/>
    <n v="5.6618845540749598"/>
    <n v="3000"/>
    <n v="300"/>
    <n v="50"/>
    <x v="6"/>
    <x v="20"/>
  </r>
  <r>
    <s v="FL1027"/>
    <s v="Los Angeles"/>
    <s v="Paris"/>
    <x v="4"/>
    <n v="30000"/>
    <n v="-18.837566852249399"/>
    <n v="-38.169838318321297"/>
    <n v="2500"/>
    <n v="354"/>
    <n v="150"/>
    <x v="18"/>
    <x v="21"/>
  </r>
  <r>
    <s v="FL1028"/>
    <s v="Houston"/>
    <s v="Tokyo"/>
    <x v="0"/>
    <n v="30000"/>
    <n v="-131.66105367518099"/>
    <n v="-1.29247478409157"/>
    <n v="2550"/>
    <n v="397"/>
    <n v="120"/>
    <x v="0"/>
    <x v="0"/>
  </r>
  <r>
    <s v="FL1029"/>
    <s v="Houston"/>
    <s v="London"/>
    <x v="2"/>
    <n v="30000"/>
    <n v="164.85628358043701"/>
    <n v="-36.010427440135899"/>
    <n v="2846"/>
    <n v="374"/>
    <n v="138"/>
    <x v="8"/>
    <x v="9"/>
  </r>
  <r>
    <s v="FL1030"/>
    <s v="Chicago"/>
    <s v="Sydney"/>
    <x v="1"/>
    <n v="30000"/>
    <n v="10.677500620423199"/>
    <n v="17.2947519428951"/>
    <n v="2678"/>
    <n v="356"/>
    <n v="137"/>
    <x v="17"/>
    <x v="14"/>
  </r>
  <r>
    <s v="FL1031"/>
    <s v="Houston"/>
    <s v="Paris"/>
    <x v="1"/>
    <n v="30000"/>
    <n v="-92.918414119359895"/>
    <n v="-11.908093886055999"/>
    <n v="2647"/>
    <n v="354"/>
    <n v="113"/>
    <x v="19"/>
    <x v="22"/>
  </r>
  <r>
    <s v="FL1032"/>
    <s v="Houston"/>
    <s v="London"/>
    <x v="5"/>
    <n v="30000"/>
    <n v="0.21728561569471999"/>
    <n v="-60.407004765801801"/>
    <n v="2500"/>
    <n v="450"/>
    <n v="200"/>
    <x v="8"/>
    <x v="16"/>
  </r>
  <r>
    <s v="FL1033"/>
    <s v="New York"/>
    <s v="Dubai"/>
    <x v="7"/>
    <n v="30000"/>
    <n v="64.663319784638801"/>
    <n v="-69.015046579974594"/>
    <n v="2588"/>
    <n v="402"/>
    <n v="134"/>
    <x v="20"/>
    <x v="23"/>
  </r>
  <r>
    <s v="FL1034"/>
    <s v="Chicago"/>
    <s v="Tokyo"/>
    <x v="1"/>
    <n v="30000"/>
    <n v="-152.55388152951701"/>
    <n v="8.4052227729834197"/>
    <n v="2500"/>
    <n v="600"/>
    <n v="200"/>
    <x v="2"/>
    <x v="13"/>
  </r>
  <r>
    <s v="FL1035"/>
    <s v="Miami"/>
    <s v="London"/>
    <x v="5"/>
    <n v="32000"/>
    <n v="-81.106626582758906"/>
    <n v="72.434345991498603"/>
    <n v="2000"/>
    <n v="300"/>
    <n v="150"/>
    <x v="14"/>
    <x v="24"/>
  </r>
  <r>
    <s v="FL1036"/>
    <s v="Chicago"/>
    <s v="Paris"/>
    <x v="5"/>
    <n v="30000"/>
    <n v="110.507576718238"/>
    <n v="-28.087616419616602"/>
    <n v="3500"/>
    <n v="354"/>
    <n v="121"/>
    <x v="5"/>
    <x v="25"/>
  </r>
  <r>
    <s v="FL1037"/>
    <s v="Miami"/>
    <s v="Dubai"/>
    <x v="1"/>
    <n v="30000"/>
    <n v="-14.520646655042"/>
    <n v="41.940019300072201"/>
    <n v="2000"/>
    <n v="300"/>
    <n v="200"/>
    <x v="21"/>
    <x v="20"/>
  </r>
  <r>
    <s v="FL1038"/>
    <s v="New York"/>
    <s v="Paris"/>
    <x v="1"/>
    <n v="30000"/>
    <n v="16.767771131626201"/>
    <n v="28.559043889158101"/>
    <n v="3500"/>
    <n v="450"/>
    <n v="150"/>
    <x v="13"/>
    <x v="26"/>
  </r>
  <r>
    <s v="FL1039"/>
    <s v="Los Angeles"/>
    <s v="Paris"/>
    <x v="2"/>
    <n v="30000"/>
    <n v="-24.1862392045911"/>
    <n v="77.679884575706595"/>
    <n v="2882"/>
    <n v="354"/>
    <n v="125"/>
    <x v="18"/>
    <x v="8"/>
  </r>
  <r>
    <s v="FL1040"/>
    <s v="Houston"/>
    <s v="Dubai"/>
    <x v="6"/>
    <n v="30000"/>
    <n v="-164.19602064851799"/>
    <n v="57.776583113845398"/>
    <n v="3000"/>
    <n v="402"/>
    <n v="200"/>
    <x v="11"/>
    <x v="27"/>
  </r>
  <r>
    <s v="FL1041"/>
    <s v="New York"/>
    <s v="Paris"/>
    <x v="1"/>
    <n v="30000"/>
    <n v="-120.330079264744"/>
    <n v="11.988946602983299"/>
    <n v="2847"/>
    <n v="354"/>
    <n v="122"/>
    <x v="13"/>
    <x v="22"/>
  </r>
  <r>
    <s v="FL1042"/>
    <s v="Houston"/>
    <s v="Dubai"/>
    <x v="5"/>
    <n v="35000"/>
    <n v="-19.605010052919301"/>
    <n v="28.2654896821393"/>
    <n v="2500"/>
    <n v="300"/>
    <n v="150"/>
    <x v="11"/>
    <x v="24"/>
  </r>
  <r>
    <s v="FL1043"/>
    <s v="Los Angeles"/>
    <s v="London"/>
    <x v="6"/>
    <n v="30000"/>
    <n v="-104.693232453146"/>
    <n v="71.709563985126294"/>
    <n v="2500"/>
    <n v="450"/>
    <n v="50"/>
    <x v="10"/>
    <x v="28"/>
  </r>
  <r>
    <s v="FL1044"/>
    <s v="Los Angeles"/>
    <s v="Dubai"/>
    <x v="7"/>
    <n v="30000"/>
    <n v="-162.00754968251599"/>
    <n v="-18.086618774351699"/>
    <n v="2794"/>
    <n v="402"/>
    <n v="113"/>
    <x v="22"/>
    <x v="23"/>
  </r>
  <r>
    <s v="FL1045"/>
    <s v="New York"/>
    <s v="Dubai"/>
    <x v="6"/>
    <n v="32000"/>
    <n v="123.713879058657"/>
    <n v="-31.1769529456001"/>
    <n v="3000"/>
    <n v="450"/>
    <n v="134"/>
    <x v="20"/>
    <x v="28"/>
  </r>
  <r>
    <s v="FL1046"/>
    <s v="Los Angeles"/>
    <s v="Tokyo"/>
    <x v="3"/>
    <n v="30000"/>
    <n v="173.229310499082"/>
    <n v="-88.054004945664701"/>
    <n v="3500"/>
    <n v="397"/>
    <n v="150"/>
    <x v="23"/>
    <x v="29"/>
  </r>
  <r>
    <s v="FL1047"/>
    <s v="Miami"/>
    <s v="Dubai"/>
    <x v="6"/>
    <n v="32000"/>
    <n v="105.531434638826"/>
    <n v="58.779193354463601"/>
    <n v="2500"/>
    <n v="600"/>
    <n v="200"/>
    <x v="21"/>
    <x v="26"/>
  </r>
  <r>
    <s v="FL1048"/>
    <s v="Los Angeles"/>
    <s v="Dubai"/>
    <x v="1"/>
    <n v="35000"/>
    <n v="127.36257181368001"/>
    <n v="54.176526072605697"/>
    <n v="3000"/>
    <n v="450"/>
    <n v="150"/>
    <x v="22"/>
    <x v="26"/>
  </r>
  <r>
    <s v="FL1049"/>
    <s v="Houston"/>
    <s v="London"/>
    <x v="2"/>
    <n v="30000"/>
    <n v="-92.888233085863703"/>
    <n v="-71.198186741972705"/>
    <n v="2846"/>
    <n v="374"/>
    <n v="138"/>
    <x v="8"/>
    <x v="9"/>
  </r>
  <r>
    <s v="FL1050"/>
    <s v="Houston"/>
    <s v="Tokyo"/>
    <x v="0"/>
    <n v="30000"/>
    <n v="165.82571118475201"/>
    <n v="13.834328603886"/>
    <n v="3500"/>
    <n v="300"/>
    <n v="100"/>
    <x v="0"/>
    <x v="11"/>
  </r>
  <r>
    <s v="FL1051"/>
    <s v="Houston"/>
    <s v="Sydney"/>
    <x v="4"/>
    <n v="35000"/>
    <n v="-109.106746396766"/>
    <n v="-6.4832943299602697"/>
    <n v="3000"/>
    <n v="450"/>
    <n v="50"/>
    <x v="12"/>
    <x v="30"/>
  </r>
  <r>
    <s v="FL1052"/>
    <s v="Houston"/>
    <s v="London"/>
    <x v="1"/>
    <n v="32000"/>
    <n v="162.51473173026"/>
    <n v="-68.6323628083599"/>
    <n v="2000"/>
    <n v="450"/>
    <n v="50"/>
    <x v="8"/>
    <x v="26"/>
  </r>
  <r>
    <s v="FL1053"/>
    <s v="Miami"/>
    <s v="London"/>
    <x v="2"/>
    <n v="30000"/>
    <n v="178.134945827742"/>
    <n v="86.502280870930207"/>
    <n v="2000"/>
    <n v="150"/>
    <n v="100"/>
    <x v="14"/>
    <x v="31"/>
  </r>
  <r>
    <s v="FL1054"/>
    <s v="Chicago"/>
    <s v="Sydney"/>
    <x v="1"/>
    <n v="30000"/>
    <n v="76.2202100685776"/>
    <n v="-51.354740256596003"/>
    <n v="2678"/>
    <n v="356"/>
    <n v="137"/>
    <x v="17"/>
    <x v="14"/>
  </r>
  <r>
    <s v="FL1055"/>
    <s v="New York"/>
    <s v="Dubai"/>
    <x v="7"/>
    <n v="30000"/>
    <n v="173.21174344505599"/>
    <n v="-77.897847583699004"/>
    <n v="2588"/>
    <n v="402"/>
    <n v="134"/>
    <x v="20"/>
    <x v="23"/>
  </r>
  <r>
    <s v="FL1056"/>
    <s v="Houston"/>
    <s v="Paris"/>
    <x v="1"/>
    <n v="30000"/>
    <n v="25.034320644157301"/>
    <n v="17.072528310343699"/>
    <n v="2647"/>
    <n v="354"/>
    <n v="113"/>
    <x v="19"/>
    <x v="22"/>
  </r>
  <r>
    <s v="FL1057"/>
    <s v="Los Angeles"/>
    <s v="Tokyo"/>
    <x v="1"/>
    <n v="30000"/>
    <n v="-86.564958056607495"/>
    <n v="42.996001883945901"/>
    <n v="3500"/>
    <n v="600"/>
    <n v="50"/>
    <x v="23"/>
    <x v="13"/>
  </r>
  <r>
    <s v="FL1058"/>
    <s v="Houston"/>
    <s v="Paris"/>
    <x v="1"/>
    <n v="35000"/>
    <n v="-22.681481160376499"/>
    <n v="-84.160179711506302"/>
    <n v="3000"/>
    <n v="450"/>
    <n v="200"/>
    <x v="19"/>
    <x v="26"/>
  </r>
  <r>
    <s v="FL1059"/>
    <s v="Los Angeles"/>
    <s v="Sydney"/>
    <x v="2"/>
    <n v="30000"/>
    <n v="33.681936736362999"/>
    <n v="28.569174970864001"/>
    <n v="3000"/>
    <n v="356"/>
    <n v="145"/>
    <x v="4"/>
    <x v="4"/>
  </r>
  <r>
    <s v="FL1060"/>
    <s v="Los Angeles"/>
    <s v="London"/>
    <x v="2"/>
    <n v="30000"/>
    <n v="-153.69063767027501"/>
    <n v="5.81253767126179"/>
    <n v="2760"/>
    <n v="374"/>
    <n v="131"/>
    <x v="10"/>
    <x v="9"/>
  </r>
  <r>
    <s v="FL1061"/>
    <s v="Houston"/>
    <s v="London"/>
    <x v="6"/>
    <n v="30000"/>
    <n v="44.043575262208599"/>
    <n v="-71.412298402491302"/>
    <n v="3500"/>
    <n v="150"/>
    <n v="138"/>
    <x v="8"/>
    <x v="32"/>
  </r>
  <r>
    <s v="FL1062"/>
    <s v="Miami"/>
    <s v="Tokyo"/>
    <x v="4"/>
    <n v="30000"/>
    <n v="173.224021234426"/>
    <n v="-58.945702149654799"/>
    <n v="2729"/>
    <n v="450"/>
    <n v="126"/>
    <x v="1"/>
    <x v="30"/>
  </r>
  <r>
    <s v="FL1063"/>
    <s v="Los Angeles"/>
    <s v="London"/>
    <x v="2"/>
    <n v="30000"/>
    <n v="-111.561246077858"/>
    <n v="12.2353735168945"/>
    <n v="2760"/>
    <n v="374"/>
    <n v="131"/>
    <x v="10"/>
    <x v="9"/>
  </r>
  <r>
    <s v="FL1064"/>
    <s v="Los Angeles"/>
    <s v="London"/>
    <x v="5"/>
    <n v="30000"/>
    <n v="105.33424186381799"/>
    <n v="-36.655629567608102"/>
    <n v="2000"/>
    <n v="600"/>
    <n v="200"/>
    <x v="10"/>
    <x v="33"/>
  </r>
  <r>
    <s v="FL1065"/>
    <s v="Houston"/>
    <s v="Tokyo"/>
    <x v="0"/>
    <n v="30000"/>
    <n v="146.84356576066301"/>
    <n v="78.896831157236903"/>
    <n v="2550"/>
    <n v="397"/>
    <n v="120"/>
    <x v="0"/>
    <x v="0"/>
  </r>
  <r>
    <s v="FL1066"/>
    <s v="Los Angeles"/>
    <s v="Tokyo"/>
    <x v="0"/>
    <n v="30000"/>
    <n v="159.73257341527901"/>
    <n v="57.373241307129099"/>
    <n v="2586"/>
    <n v="397"/>
    <n v="119"/>
    <x v="23"/>
    <x v="0"/>
  </r>
  <r>
    <s v="FL1067"/>
    <s v="Los Angeles"/>
    <s v="Sydney"/>
    <x v="2"/>
    <n v="30000"/>
    <n v="165.64881758596101"/>
    <n v="87.042097172459293"/>
    <n v="3000"/>
    <n v="356"/>
    <n v="145"/>
    <x v="4"/>
    <x v="4"/>
  </r>
  <r>
    <s v="FL1068"/>
    <s v="Houston"/>
    <s v="London"/>
    <x v="6"/>
    <n v="30000"/>
    <n v="7.7254699397298898"/>
    <n v="-43.259248988925499"/>
    <n v="2500"/>
    <n v="600"/>
    <n v="200"/>
    <x v="8"/>
    <x v="26"/>
  </r>
  <r>
    <s v="FL1069"/>
    <s v="Houston"/>
    <s v="London"/>
    <x v="2"/>
    <n v="30000"/>
    <n v="171.830846876941"/>
    <n v="84.550253903635905"/>
    <n v="2846"/>
    <n v="374"/>
    <n v="138"/>
    <x v="8"/>
    <x v="9"/>
  </r>
  <r>
    <s v="FL1070"/>
    <s v="New York"/>
    <s v="Sydney"/>
    <x v="1"/>
    <n v="30000"/>
    <n v="92.631674568397997"/>
    <n v="-12.377903437519601"/>
    <n v="2800"/>
    <n v="356"/>
    <n v="120"/>
    <x v="15"/>
    <x v="14"/>
  </r>
  <r>
    <s v="FL1071"/>
    <s v="Miami"/>
    <s v="Dubai"/>
    <x v="4"/>
    <n v="30000"/>
    <n v="-121.798282954694"/>
    <n v="-27.4466168435242"/>
    <n v="2000"/>
    <n v="300"/>
    <n v="128"/>
    <x v="21"/>
    <x v="12"/>
  </r>
  <r>
    <s v="FL1072"/>
    <s v="Miami"/>
    <s v="Dubai"/>
    <x v="1"/>
    <n v="30000"/>
    <n v="-8.3159616715308005"/>
    <n v="-80.937085145516406"/>
    <n v="2700"/>
    <n v="402"/>
    <n v="128"/>
    <x v="21"/>
    <x v="34"/>
  </r>
  <r>
    <s v="FL1073"/>
    <s v="Los Angeles"/>
    <s v="Dubai"/>
    <x v="7"/>
    <n v="30000"/>
    <n v="78.599223133921399"/>
    <n v="-80.502253585271504"/>
    <n v="2794"/>
    <n v="402"/>
    <n v="113"/>
    <x v="22"/>
    <x v="23"/>
  </r>
  <r>
    <s v="FL1074"/>
    <s v="Miami"/>
    <s v="Sydney"/>
    <x v="3"/>
    <n v="32000"/>
    <n v="-90.957486305130004"/>
    <n v="34.562026070397799"/>
    <n v="2000"/>
    <n v="356"/>
    <n v="50"/>
    <x v="3"/>
    <x v="35"/>
  </r>
  <r>
    <s v="FL1075"/>
    <s v="Los Angeles"/>
    <s v="London"/>
    <x v="3"/>
    <n v="30000"/>
    <n v="50.6214660775995"/>
    <n v="-7.5727810018749704"/>
    <n v="3500"/>
    <n v="300"/>
    <n v="131"/>
    <x v="10"/>
    <x v="36"/>
  </r>
  <r>
    <s v="FL1076"/>
    <s v="New York"/>
    <s v="Sydney"/>
    <x v="1"/>
    <n v="30000"/>
    <n v="59.976172456782898"/>
    <n v="-49.226107313500997"/>
    <n v="2800"/>
    <n v="356"/>
    <n v="120"/>
    <x v="15"/>
    <x v="14"/>
  </r>
  <r>
    <s v="FL1077"/>
    <s v="Houston"/>
    <s v="Sydney"/>
    <x v="1"/>
    <n v="30000"/>
    <n v="-121.428092228916"/>
    <n v="20.514655138541901"/>
    <n v="2500"/>
    <n v="356"/>
    <n v="127"/>
    <x v="12"/>
    <x v="14"/>
  </r>
  <r>
    <s v="FL1078"/>
    <s v="Houston"/>
    <s v="Dubai"/>
    <x v="2"/>
    <n v="30000"/>
    <n v="23.430712482992199"/>
    <n v="-44.485538714980002"/>
    <n v="2500"/>
    <n v="402"/>
    <n v="111"/>
    <x v="11"/>
    <x v="19"/>
  </r>
  <r>
    <s v="FL1079"/>
    <s v="Houston"/>
    <s v="Paris"/>
    <x v="1"/>
    <n v="30000"/>
    <n v="97.785687952298801"/>
    <n v="13.9737157819961"/>
    <n v="2647"/>
    <n v="354"/>
    <n v="113"/>
    <x v="19"/>
    <x v="22"/>
  </r>
  <r>
    <s v="FL1080"/>
    <s v="Miami"/>
    <s v="London"/>
    <x v="5"/>
    <n v="35000"/>
    <n v="-0.39756076706089499"/>
    <n v="-25.342425543115699"/>
    <n v="2000"/>
    <n v="600"/>
    <n v="150"/>
    <x v="14"/>
    <x v="33"/>
  </r>
  <r>
    <s v="FL1081"/>
    <s v="New York"/>
    <s v="Dubai"/>
    <x v="7"/>
    <n v="30000"/>
    <n v="-175.642877960601"/>
    <n v="58.239400790127398"/>
    <n v="2588"/>
    <n v="402"/>
    <n v="134"/>
    <x v="20"/>
    <x v="23"/>
  </r>
  <r>
    <s v="FL1082"/>
    <s v="Miami"/>
    <s v="Paris"/>
    <x v="2"/>
    <n v="30000"/>
    <n v="-176.74615113145501"/>
    <n v="57.725308938020298"/>
    <n v="2718"/>
    <n v="354"/>
    <n v="115"/>
    <x v="7"/>
    <x v="8"/>
  </r>
  <r>
    <s v="FL1083"/>
    <s v="Miami"/>
    <s v="Paris"/>
    <x v="6"/>
    <n v="30000"/>
    <n v="-51.469436170795603"/>
    <n v="-4.0769283379677601"/>
    <n v="2718"/>
    <n v="300"/>
    <n v="200"/>
    <x v="7"/>
    <x v="37"/>
  </r>
  <r>
    <s v="FL1084"/>
    <s v="New York"/>
    <s v="Tokyo"/>
    <x v="1"/>
    <n v="30000"/>
    <n v="153.42986463544199"/>
    <n v="-26.852560319697201"/>
    <n v="2954"/>
    <n v="397"/>
    <n v="128"/>
    <x v="24"/>
    <x v="1"/>
  </r>
  <r>
    <s v="FL1085"/>
    <s v="New York"/>
    <s v="London"/>
    <x v="1"/>
    <n v="32000"/>
    <n v="-97.676359342700806"/>
    <n v="-24.739236619362998"/>
    <n v="2000"/>
    <n v="600"/>
    <n v="50"/>
    <x v="16"/>
    <x v="13"/>
  </r>
  <r>
    <s v="FL1086"/>
    <s v="New York"/>
    <s v="Paris"/>
    <x v="1"/>
    <n v="30000"/>
    <n v="48.370927993807399"/>
    <n v="55.0286146202792"/>
    <n v="2847"/>
    <n v="354"/>
    <n v="122"/>
    <x v="13"/>
    <x v="22"/>
  </r>
  <r>
    <s v="FL1087"/>
    <s v="New York"/>
    <s v="Dubai"/>
    <x v="3"/>
    <n v="32000"/>
    <n v="-100.052686550405"/>
    <n v="-30.927693096429799"/>
    <n v="2000"/>
    <n v="150"/>
    <n v="150"/>
    <x v="20"/>
    <x v="15"/>
  </r>
  <r>
    <s v="FL1088"/>
    <s v="Houston"/>
    <s v="Tokyo"/>
    <x v="0"/>
    <n v="30000"/>
    <n v="-64.198803722562502"/>
    <n v="-52.369312732767703"/>
    <n v="2550"/>
    <n v="397"/>
    <n v="120"/>
    <x v="0"/>
    <x v="0"/>
  </r>
  <r>
    <s v="FL1089"/>
    <s v="Chicago"/>
    <s v="London"/>
    <x v="1"/>
    <n v="32000"/>
    <n v="125.295152256534"/>
    <n v="-74.756098462444797"/>
    <n v="2678"/>
    <n v="450"/>
    <n v="116"/>
    <x v="6"/>
    <x v="26"/>
  </r>
  <r>
    <s v="FL1090"/>
    <s v="Chicago"/>
    <s v="Sydney"/>
    <x v="1"/>
    <n v="30000"/>
    <n v="82.390119217180896"/>
    <n v="-5.9952382408064899"/>
    <n v="2678"/>
    <n v="356"/>
    <n v="137"/>
    <x v="17"/>
    <x v="14"/>
  </r>
  <r>
    <s v="FL1091"/>
    <s v="New York"/>
    <s v="Dubai"/>
    <x v="3"/>
    <n v="30000"/>
    <n v="-145.656260167244"/>
    <n v="-3.2162221944284699"/>
    <n v="3500"/>
    <n v="402"/>
    <n v="100"/>
    <x v="20"/>
    <x v="38"/>
  </r>
  <r>
    <s v="FL1092"/>
    <s v="Chicago"/>
    <s v="Paris"/>
    <x v="6"/>
    <n v="30000"/>
    <n v="-25.667272444883899"/>
    <n v="61.363567872523298"/>
    <n v="3000"/>
    <n v="300"/>
    <n v="50"/>
    <x v="5"/>
    <x v="37"/>
  </r>
  <r>
    <s v="FL1093"/>
    <s v="Chicago"/>
    <s v="Paris"/>
    <x v="6"/>
    <n v="32000"/>
    <n v="-169.49888508770499"/>
    <n v="-50.177034639708502"/>
    <n v="2928"/>
    <n v="354"/>
    <n v="200"/>
    <x v="5"/>
    <x v="39"/>
  </r>
  <r>
    <s v="FL1094"/>
    <s v="New York"/>
    <s v="Dubai"/>
    <x v="5"/>
    <n v="32000"/>
    <n v="-6.8795472229167602"/>
    <n v="-21.421570739688001"/>
    <n v="2500"/>
    <n v="402"/>
    <n v="150"/>
    <x v="20"/>
    <x v="40"/>
  </r>
  <r>
    <s v="FL1095"/>
    <s v="Chicago"/>
    <s v="Paris"/>
    <x v="5"/>
    <n v="35000"/>
    <n v="58.476244212384501"/>
    <n v="55.513033000864397"/>
    <n v="3500"/>
    <n v="354"/>
    <n v="50"/>
    <x v="5"/>
    <x v="25"/>
  </r>
  <r>
    <s v="FL1096"/>
    <s v="Miami"/>
    <s v="Tokyo"/>
    <x v="1"/>
    <n v="30000"/>
    <n v="-137.33905550466599"/>
    <n v="58.252249934815197"/>
    <n v="2729"/>
    <n v="397"/>
    <n v="126"/>
    <x v="1"/>
    <x v="1"/>
  </r>
  <r>
    <s v="FL1097"/>
    <s v="Los Angeles"/>
    <s v="London"/>
    <x v="2"/>
    <n v="30000"/>
    <n v="-76.001421992700401"/>
    <n v="-20.770006323821701"/>
    <n v="2760"/>
    <n v="374"/>
    <n v="131"/>
    <x v="10"/>
    <x v="9"/>
  </r>
  <r>
    <s v="FL1098"/>
    <s v="Los Angeles"/>
    <s v="Tokyo"/>
    <x v="6"/>
    <n v="30000"/>
    <n v="-36.778814819223498"/>
    <n v="-7.3576758083974498"/>
    <n v="2500"/>
    <n v="300"/>
    <n v="200"/>
    <x v="23"/>
    <x v="37"/>
  </r>
  <r>
    <s v="FL1099"/>
    <s v="New York"/>
    <s v="Paris"/>
    <x v="1"/>
    <n v="32000"/>
    <n v="151.03116887617799"/>
    <n v="-35.408539647129103"/>
    <n v="3000"/>
    <n v="354"/>
    <n v="150"/>
    <x v="13"/>
    <x v="22"/>
  </r>
  <r>
    <s v="FL1100"/>
    <s v="Houston"/>
    <s v="Sydney"/>
    <x v="1"/>
    <n v="30000"/>
    <n v="177.57180555226699"/>
    <n v="77.859878115476207"/>
    <n v="2000"/>
    <n v="450"/>
    <n v="200"/>
    <x v="12"/>
    <x v="26"/>
  </r>
  <r>
    <s v="FL1101"/>
    <s v="New York"/>
    <s v="London"/>
    <x v="1"/>
    <n v="30000"/>
    <n v="-163.831932361578"/>
    <n v="-68.644122166515501"/>
    <n v="2760"/>
    <n v="374"/>
    <n v="107"/>
    <x v="16"/>
    <x v="6"/>
  </r>
  <r>
    <s v="FL1102"/>
    <s v="Houston"/>
    <s v="London"/>
    <x v="5"/>
    <n v="30000"/>
    <n v="93.962852458341203"/>
    <n v="78.074896140264599"/>
    <n v="3000"/>
    <n v="374"/>
    <n v="138"/>
    <x v="8"/>
    <x v="41"/>
  </r>
  <r>
    <s v="FL1103"/>
    <s v="Los Angeles"/>
    <s v="Dubai"/>
    <x v="3"/>
    <n v="30000"/>
    <n v="-46.179336095156401"/>
    <n v="33.095961330361803"/>
    <n v="3500"/>
    <n v="450"/>
    <n v="50"/>
    <x v="22"/>
    <x v="11"/>
  </r>
  <r>
    <s v="FL1104"/>
    <s v="New York"/>
    <s v="Dubai"/>
    <x v="6"/>
    <n v="30000"/>
    <n v="-38.715052957387201"/>
    <n v="5.6829874836116101"/>
    <n v="2588"/>
    <n v="600"/>
    <n v="150"/>
    <x v="20"/>
    <x v="26"/>
  </r>
  <r>
    <s v="FL1105"/>
    <s v="Miami"/>
    <s v="Sydney"/>
    <x v="0"/>
    <n v="35000"/>
    <n v="91.535390404928194"/>
    <n v="-84.121369058790705"/>
    <n v="3500"/>
    <n v="356"/>
    <n v="105"/>
    <x v="3"/>
    <x v="3"/>
  </r>
  <r>
    <s v="FL1106"/>
    <s v="Chicago"/>
    <s v="London"/>
    <x v="6"/>
    <n v="30000"/>
    <n v="150.63351557234699"/>
    <n v="-4.3926854720385098"/>
    <n v="2500"/>
    <n v="450"/>
    <n v="100"/>
    <x v="6"/>
    <x v="28"/>
  </r>
  <r>
    <s v="FL1107"/>
    <s v="Houston"/>
    <s v="Sydney"/>
    <x v="1"/>
    <n v="30000"/>
    <n v="162.33429402091701"/>
    <n v="-16.605341099508198"/>
    <n v="2500"/>
    <n v="356"/>
    <n v="127"/>
    <x v="12"/>
    <x v="14"/>
  </r>
  <r>
    <s v="FL1108"/>
    <s v="Chicago"/>
    <s v="Dubai"/>
    <x v="0"/>
    <n v="30000"/>
    <n v="27.764130973795499"/>
    <n v="-60.980613844477901"/>
    <n v="2636"/>
    <n v="402"/>
    <n v="114"/>
    <x v="9"/>
    <x v="42"/>
  </r>
  <r>
    <s v="FL1109"/>
    <s v="Chicago"/>
    <s v="Dubai"/>
    <x v="0"/>
    <n v="30000"/>
    <n v="-51.436382651819002"/>
    <n v="28.153728630118199"/>
    <n v="2636"/>
    <n v="402"/>
    <n v="114"/>
    <x v="9"/>
    <x v="42"/>
  </r>
  <r>
    <s v="FL1110"/>
    <s v="New York"/>
    <s v="London"/>
    <x v="1"/>
    <n v="30000"/>
    <n v="103.517670909161"/>
    <n v="84.807163326291402"/>
    <n v="2760"/>
    <n v="374"/>
    <n v="107"/>
    <x v="16"/>
    <x v="6"/>
  </r>
  <r>
    <s v="FL1111"/>
    <s v="Chicago"/>
    <s v="Tokyo"/>
    <x v="5"/>
    <n v="30000"/>
    <n v="-89.6395020255719"/>
    <n v="11.1939859916145"/>
    <n v="2500"/>
    <n v="300"/>
    <n v="133"/>
    <x v="2"/>
    <x v="24"/>
  </r>
  <r>
    <s v="FL1112"/>
    <s v="Miami"/>
    <s v="Paris"/>
    <x v="4"/>
    <n v="30000"/>
    <n v="23.066650380066399"/>
    <n v="38.6555897599102"/>
    <n v="2500"/>
    <n v="450"/>
    <n v="50"/>
    <x v="7"/>
    <x v="30"/>
  </r>
  <r>
    <s v="FL1113"/>
    <s v="Chicago"/>
    <s v="Dubai"/>
    <x v="3"/>
    <n v="30000"/>
    <n v="-50.911753851045702"/>
    <n v="-77.678918538117003"/>
    <n v="2636"/>
    <n v="150"/>
    <n v="200"/>
    <x v="9"/>
    <x v="15"/>
  </r>
  <r>
    <s v="FL1114"/>
    <s v="New York"/>
    <s v="Dubai"/>
    <x v="4"/>
    <n v="30000"/>
    <n v="56.387186534835401"/>
    <n v="-14.8199407529409"/>
    <n v="2000"/>
    <n v="450"/>
    <n v="100"/>
    <x v="20"/>
    <x v="30"/>
  </r>
  <r>
    <s v="FL1115"/>
    <s v="Miami"/>
    <s v="Tokyo"/>
    <x v="5"/>
    <n v="30000"/>
    <n v="-93.456391358337498"/>
    <n v="-69.055472670390699"/>
    <n v="2729"/>
    <n v="150"/>
    <n v="200"/>
    <x v="1"/>
    <x v="11"/>
  </r>
  <r>
    <s v="FL1116"/>
    <s v="Los Angeles"/>
    <s v="Tokyo"/>
    <x v="3"/>
    <n v="32000"/>
    <n v="-111.026539535463"/>
    <n v="20.303250396571901"/>
    <n v="3500"/>
    <n v="397"/>
    <n v="200"/>
    <x v="23"/>
    <x v="29"/>
  </r>
  <r>
    <s v="FL1117"/>
    <s v="Chicago"/>
    <s v="Sydney"/>
    <x v="4"/>
    <n v="30000"/>
    <n v="150.56607120315701"/>
    <n v="78.926788478547806"/>
    <n v="2000"/>
    <n v="356"/>
    <n v="200"/>
    <x v="17"/>
    <x v="43"/>
  </r>
  <r>
    <s v="FL1118"/>
    <s v="New York"/>
    <s v="Sydney"/>
    <x v="1"/>
    <n v="30000"/>
    <n v="-143.35067413816699"/>
    <n v="29.119991844894901"/>
    <n v="2800"/>
    <n v="356"/>
    <n v="120"/>
    <x v="15"/>
    <x v="14"/>
  </r>
  <r>
    <s v="FL1119"/>
    <s v="Los Angeles"/>
    <s v="Paris"/>
    <x v="5"/>
    <n v="30000"/>
    <n v="2.1448467845754098"/>
    <n v="-76.175451303404103"/>
    <n v="2000"/>
    <n v="354"/>
    <n v="50"/>
    <x v="18"/>
    <x v="25"/>
  </r>
  <r>
    <s v="FL1120"/>
    <s v="Los Angeles"/>
    <s v="Paris"/>
    <x v="2"/>
    <n v="30000"/>
    <n v="-100.492998133317"/>
    <n v="-26.1600831026851"/>
    <n v="2882"/>
    <n v="354"/>
    <n v="125"/>
    <x v="18"/>
    <x v="8"/>
  </r>
  <r>
    <s v="FL1121"/>
    <s v="Houston"/>
    <s v="London"/>
    <x v="5"/>
    <n v="30000"/>
    <n v="-165.98521320276001"/>
    <n v="9.1194082993532799"/>
    <n v="2500"/>
    <n v="300"/>
    <n v="200"/>
    <x v="8"/>
    <x v="24"/>
  </r>
  <r>
    <s v="FL1122"/>
    <s v="Miami"/>
    <s v="Sydney"/>
    <x v="1"/>
    <n v="35000"/>
    <n v="-167.03322541508601"/>
    <n v="-17.4226038960146"/>
    <n v="3000"/>
    <n v="300"/>
    <n v="50"/>
    <x v="3"/>
    <x v="20"/>
  </r>
  <r>
    <s v="FL1123"/>
    <s v="Chicago"/>
    <s v="Dubai"/>
    <x v="1"/>
    <n v="30000"/>
    <n v="-116.920162041902"/>
    <n v="60.055921885530999"/>
    <n v="2500"/>
    <n v="150"/>
    <n v="100"/>
    <x v="9"/>
    <x v="10"/>
  </r>
  <r>
    <s v="FL1124"/>
    <s v="New York"/>
    <s v="Sydney"/>
    <x v="6"/>
    <n v="30000"/>
    <n v="132.03732762216001"/>
    <n v="56.640780847798098"/>
    <n v="2800"/>
    <n v="356"/>
    <n v="100"/>
    <x v="15"/>
    <x v="44"/>
  </r>
  <r>
    <s v="FL1125"/>
    <s v="Houston"/>
    <s v="Dubai"/>
    <x v="2"/>
    <n v="30000"/>
    <n v="-78.307652168270394"/>
    <n v="20.1295836185799"/>
    <n v="2500"/>
    <n v="402"/>
    <n v="111"/>
    <x v="11"/>
    <x v="19"/>
  </r>
  <r>
    <s v="FL1126"/>
    <s v="Miami"/>
    <s v="Tokyo"/>
    <x v="4"/>
    <n v="32000"/>
    <n v="162.16530140710699"/>
    <n v="-22.777569876112999"/>
    <n v="2500"/>
    <n v="300"/>
    <n v="150"/>
    <x v="1"/>
    <x v="12"/>
  </r>
  <r>
    <s v="FL1127"/>
    <s v="Houston"/>
    <s v="Sydney"/>
    <x v="6"/>
    <n v="35000"/>
    <n v="29.384025476109699"/>
    <n v="-44.039452722615998"/>
    <n v="2500"/>
    <n v="300"/>
    <n v="200"/>
    <x v="12"/>
    <x v="37"/>
  </r>
  <r>
    <s v="FL1128"/>
    <s v="Miami"/>
    <s v="Tokyo"/>
    <x v="4"/>
    <n v="30000"/>
    <n v="-22.8188916832442"/>
    <n v="-70.942622721636695"/>
    <n v="3500"/>
    <n v="397"/>
    <n v="150"/>
    <x v="1"/>
    <x v="45"/>
  </r>
  <r>
    <s v="FL1129"/>
    <s v="Miami"/>
    <s v="Paris"/>
    <x v="2"/>
    <n v="30000"/>
    <n v="28.831980481003701"/>
    <n v="-26.118416972420299"/>
    <n v="3000"/>
    <n v="600"/>
    <n v="100"/>
    <x v="7"/>
    <x v="46"/>
  </r>
  <r>
    <s v="FL1130"/>
    <s v="Chicago"/>
    <s v="Paris"/>
    <x v="1"/>
    <n v="30000"/>
    <n v="6.0114186814564103"/>
    <n v="-15.628946902610499"/>
    <n v="2500"/>
    <n v="600"/>
    <n v="50"/>
    <x v="5"/>
    <x v="13"/>
  </r>
  <r>
    <s v="FL1131"/>
    <s v="Miami"/>
    <s v="London"/>
    <x v="2"/>
    <n v="30000"/>
    <n v="93.159451352637106"/>
    <n v="31.648126518733299"/>
    <n v="2615"/>
    <n v="374"/>
    <n v="121"/>
    <x v="14"/>
    <x v="9"/>
  </r>
  <r>
    <s v="FL1132"/>
    <s v="Houston"/>
    <s v="Sydney"/>
    <x v="1"/>
    <n v="30000"/>
    <n v="-78.301416249773197"/>
    <n v="28.468768373563201"/>
    <n v="2500"/>
    <n v="356"/>
    <n v="127"/>
    <x v="12"/>
    <x v="14"/>
  </r>
  <r>
    <s v="FL1133"/>
    <s v="Miami"/>
    <s v="Tokyo"/>
    <x v="1"/>
    <n v="30000"/>
    <n v="-52.901859023891099"/>
    <n v="-77.380534864573704"/>
    <n v="2729"/>
    <n v="397"/>
    <n v="126"/>
    <x v="1"/>
    <x v="1"/>
  </r>
  <r>
    <s v="FL1134"/>
    <s v="Chicago"/>
    <s v="Dubai"/>
    <x v="6"/>
    <n v="35000"/>
    <n v="141.87394891196999"/>
    <n v="-18.853323222391602"/>
    <n v="3000"/>
    <n v="402"/>
    <n v="100"/>
    <x v="9"/>
    <x v="27"/>
  </r>
  <r>
    <s v="FL1135"/>
    <s v="Chicago"/>
    <s v="Paris"/>
    <x v="0"/>
    <n v="30000"/>
    <n v="160.724344734146"/>
    <n v="-57.279803900874903"/>
    <n v="2928"/>
    <n v="354"/>
    <n v="121"/>
    <x v="5"/>
    <x v="5"/>
  </r>
  <r>
    <s v="FL1136"/>
    <s v="Houston"/>
    <s v="Paris"/>
    <x v="1"/>
    <n v="30000"/>
    <n v="141.32096189513101"/>
    <n v="-61.773713042974997"/>
    <n v="2647"/>
    <n v="354"/>
    <n v="113"/>
    <x v="19"/>
    <x v="22"/>
  </r>
  <r>
    <s v="FL1137"/>
    <s v="Los Angeles"/>
    <s v="Dubai"/>
    <x v="7"/>
    <n v="30000"/>
    <n v="-28.998722175367099"/>
    <n v="58.914386952704298"/>
    <n v="2794"/>
    <n v="402"/>
    <n v="113"/>
    <x v="22"/>
    <x v="23"/>
  </r>
  <r>
    <s v="FL1138"/>
    <s v="Los Angeles"/>
    <s v="Tokyo"/>
    <x v="6"/>
    <n v="30000"/>
    <n v="100.931581082477"/>
    <n v="-82.455260991073601"/>
    <n v="2500"/>
    <n v="150"/>
    <n v="50"/>
    <x v="23"/>
    <x v="32"/>
  </r>
  <r>
    <s v="FL1139"/>
    <s v="Miami"/>
    <s v="Tokyo"/>
    <x v="1"/>
    <n v="30000"/>
    <n v="-8.5191360116044503"/>
    <n v="-14.5470823376182"/>
    <n v="2729"/>
    <n v="397"/>
    <n v="126"/>
    <x v="1"/>
    <x v="1"/>
  </r>
  <r>
    <s v="FL1140"/>
    <s v="New York"/>
    <s v="Sydney"/>
    <x v="1"/>
    <n v="30000"/>
    <n v="-0.88565322740322505"/>
    <n v="-59.723341962026701"/>
    <n v="2800"/>
    <n v="356"/>
    <n v="120"/>
    <x v="15"/>
    <x v="14"/>
  </r>
  <r>
    <s v="FL1141"/>
    <s v="Miami"/>
    <s v="Sydney"/>
    <x v="0"/>
    <n v="30000"/>
    <n v="-106.315160739378"/>
    <n v="68.2794388221253"/>
    <n v="2931"/>
    <n v="356"/>
    <n v="105"/>
    <x v="3"/>
    <x v="3"/>
  </r>
  <r>
    <s v="FL1142"/>
    <s v="Houston"/>
    <s v="London"/>
    <x v="4"/>
    <n v="30000"/>
    <n v="32.806909173065897"/>
    <n v="10.2672923895063"/>
    <n v="2500"/>
    <n v="374"/>
    <n v="150"/>
    <x v="8"/>
    <x v="47"/>
  </r>
  <r>
    <s v="FL1143"/>
    <s v="Houston"/>
    <s v="Paris"/>
    <x v="3"/>
    <n v="30000"/>
    <n v="-112.991076808795"/>
    <n v="-48.351485452167402"/>
    <n v="3000"/>
    <n v="300"/>
    <n v="200"/>
    <x v="19"/>
    <x v="36"/>
  </r>
  <r>
    <s v="FL1144"/>
    <s v="Houston"/>
    <s v="Sydney"/>
    <x v="1"/>
    <n v="30000"/>
    <n v="-60.636708335810198"/>
    <n v="0.43691168994774898"/>
    <n v="2500"/>
    <n v="356"/>
    <n v="127"/>
    <x v="12"/>
    <x v="14"/>
  </r>
  <r>
    <s v="FL1145"/>
    <s v="Houston"/>
    <s v="Tokyo"/>
    <x v="0"/>
    <n v="30000"/>
    <n v="127.810872583177"/>
    <n v="41.6675447465609"/>
    <n v="2550"/>
    <n v="397"/>
    <n v="120"/>
    <x v="0"/>
    <x v="0"/>
  </r>
  <r>
    <s v="FL1146"/>
    <s v="Houston"/>
    <s v="Dubai"/>
    <x v="4"/>
    <n v="35000"/>
    <n v="-105.452708684092"/>
    <n v="82.461241605498103"/>
    <n v="2500"/>
    <n v="150"/>
    <n v="100"/>
    <x v="11"/>
    <x v="48"/>
  </r>
  <r>
    <s v="FL1147"/>
    <s v="Chicago"/>
    <s v="Tokyo"/>
    <x v="2"/>
    <n v="35000"/>
    <n v="-154.38301733756401"/>
    <n v="-50.3197192358246"/>
    <n v="2000"/>
    <n v="450"/>
    <n v="150"/>
    <x v="2"/>
    <x v="7"/>
  </r>
  <r>
    <s v="FL1148"/>
    <s v="Los Angeles"/>
    <s v="Paris"/>
    <x v="2"/>
    <n v="30000"/>
    <n v="-155.15726665938601"/>
    <n v="69.512718983282099"/>
    <n v="2882"/>
    <n v="354"/>
    <n v="125"/>
    <x v="18"/>
    <x v="8"/>
  </r>
  <r>
    <s v="FL1149"/>
    <s v="Houston"/>
    <s v="Tokyo"/>
    <x v="0"/>
    <n v="35000"/>
    <n v="158.682427381119"/>
    <n v="78.174740550148201"/>
    <n v="2000"/>
    <n v="600"/>
    <n v="150"/>
    <x v="0"/>
    <x v="24"/>
  </r>
  <r>
    <s v="FL1150"/>
    <s v="New York"/>
    <s v="London"/>
    <x v="1"/>
    <n v="30000"/>
    <n v="2.49135766626046"/>
    <n v="74.955698015771901"/>
    <n v="3000"/>
    <n v="374"/>
    <n v="200"/>
    <x v="16"/>
    <x v="6"/>
  </r>
  <r>
    <s v="FL1151"/>
    <s v="New York"/>
    <s v="Paris"/>
    <x v="6"/>
    <n v="35000"/>
    <n v="-32.611654145873402"/>
    <n v="24.3745842351438"/>
    <n v="2500"/>
    <n v="354"/>
    <n v="150"/>
    <x v="13"/>
    <x v="39"/>
  </r>
  <r>
    <s v="FL1152"/>
    <s v="New York"/>
    <s v="Dubai"/>
    <x v="7"/>
    <n v="30000"/>
    <n v="111.916289162851"/>
    <n v="23.367717798247401"/>
    <n v="2500"/>
    <n v="300"/>
    <n v="134"/>
    <x v="20"/>
    <x v="49"/>
  </r>
  <r>
    <s v="FL1153"/>
    <s v="New York"/>
    <s v="London"/>
    <x v="5"/>
    <n v="30000"/>
    <n v="120.897334047786"/>
    <n v="-17.422086026911899"/>
    <n v="3000"/>
    <n v="300"/>
    <n v="100"/>
    <x v="16"/>
    <x v="24"/>
  </r>
  <r>
    <s v="FL1154"/>
    <s v="Chicago"/>
    <s v="Paris"/>
    <x v="3"/>
    <n v="35000"/>
    <n v="-60.411228078382301"/>
    <n v="45.431618814681798"/>
    <n v="2000"/>
    <n v="600"/>
    <n v="100"/>
    <x v="5"/>
    <x v="50"/>
  </r>
  <r>
    <s v="FL1155"/>
    <s v="New York"/>
    <s v="Dubai"/>
    <x v="7"/>
    <n v="30000"/>
    <n v="69.702500690566296"/>
    <n v="5.6329233031677397"/>
    <n v="2588"/>
    <n v="402"/>
    <n v="134"/>
    <x v="20"/>
    <x v="23"/>
  </r>
  <r>
    <s v="FL1156"/>
    <s v="Houston"/>
    <s v="London"/>
    <x v="4"/>
    <n v="35000"/>
    <n v="97.604213706679204"/>
    <n v="31.938852821093001"/>
    <n v="2846"/>
    <n v="450"/>
    <n v="50"/>
    <x v="8"/>
    <x v="30"/>
  </r>
  <r>
    <s v="FL1157"/>
    <s v="Miami"/>
    <s v="London"/>
    <x v="1"/>
    <n v="35000"/>
    <n v="55.674247271743603"/>
    <n v="-12.8775773072168"/>
    <n v="3500"/>
    <n v="300"/>
    <n v="150"/>
    <x v="14"/>
    <x v="20"/>
  </r>
  <r>
    <s v="FL1158"/>
    <s v="New York"/>
    <s v="Paris"/>
    <x v="1"/>
    <n v="30000"/>
    <n v="-125.425773071964"/>
    <n v="41.669363527765"/>
    <n v="2847"/>
    <n v="354"/>
    <n v="122"/>
    <x v="13"/>
    <x v="22"/>
  </r>
  <r>
    <s v="FL1159"/>
    <s v="Chicago"/>
    <s v="Sydney"/>
    <x v="1"/>
    <n v="35000"/>
    <n v="135.317910066141"/>
    <n v="58.404873168818803"/>
    <n v="2500"/>
    <n v="150"/>
    <n v="100"/>
    <x v="17"/>
    <x v="10"/>
  </r>
  <r>
    <s v="FL1160"/>
    <s v="Chicago"/>
    <s v="London"/>
    <x v="4"/>
    <n v="32000"/>
    <n v="14.074038984963099"/>
    <n v="-63.6414738114931"/>
    <n v="2500"/>
    <n v="150"/>
    <n v="100"/>
    <x v="6"/>
    <x v="48"/>
  </r>
  <r>
    <s v="FL1161"/>
    <s v="New York"/>
    <s v="London"/>
    <x v="1"/>
    <n v="30000"/>
    <n v="-78.309926506798703"/>
    <n v="59.927348803360999"/>
    <n v="3500"/>
    <n v="374"/>
    <n v="100"/>
    <x v="16"/>
    <x v="6"/>
  </r>
  <r>
    <s v="FL1162"/>
    <s v="Miami"/>
    <s v="Dubai"/>
    <x v="6"/>
    <n v="30000"/>
    <n v="-26.917853242430201"/>
    <n v="7.2533757222553001"/>
    <n v="2700"/>
    <n v="450"/>
    <n v="50"/>
    <x v="21"/>
    <x v="28"/>
  </r>
  <r>
    <s v="FL1163"/>
    <s v="New York"/>
    <s v="Tokyo"/>
    <x v="4"/>
    <n v="30000"/>
    <n v="-166.47440745639301"/>
    <n v="62.039863636240398"/>
    <n v="3500"/>
    <n v="150"/>
    <n v="50"/>
    <x v="24"/>
    <x v="48"/>
  </r>
  <r>
    <s v="FL1164"/>
    <s v="Chicago"/>
    <s v="Paris"/>
    <x v="0"/>
    <n v="30000"/>
    <n v="-133.96795155992999"/>
    <n v="-12.3656928586174"/>
    <n v="2928"/>
    <n v="354"/>
    <n v="121"/>
    <x v="5"/>
    <x v="5"/>
  </r>
  <r>
    <s v="FL1165"/>
    <s v="Los Angeles"/>
    <s v="Paris"/>
    <x v="2"/>
    <n v="30000"/>
    <n v="95.596830185709905"/>
    <n v="-21.7727126310537"/>
    <n v="2882"/>
    <n v="354"/>
    <n v="125"/>
    <x v="18"/>
    <x v="8"/>
  </r>
  <r>
    <s v="FL1166"/>
    <s v="Houston"/>
    <s v="Sydney"/>
    <x v="4"/>
    <n v="30000"/>
    <n v="-179.995811488068"/>
    <n v="74.710931853100007"/>
    <n v="2500"/>
    <n v="600"/>
    <n v="150"/>
    <x v="12"/>
    <x v="51"/>
  </r>
  <r>
    <s v="FL1167"/>
    <s v="Chicago"/>
    <s v="Sydney"/>
    <x v="5"/>
    <n v="30000"/>
    <n v="-30.0363017463748"/>
    <n v="-44.789531841287797"/>
    <n v="3000"/>
    <n v="150"/>
    <n v="200"/>
    <x v="17"/>
    <x v="11"/>
  </r>
  <r>
    <s v="FL1168"/>
    <s v="New York"/>
    <s v="Paris"/>
    <x v="1"/>
    <n v="30000"/>
    <n v="8.1036651908118493"/>
    <n v="61.958218551505801"/>
    <n v="2847"/>
    <n v="354"/>
    <n v="122"/>
    <x v="13"/>
    <x v="22"/>
  </r>
  <r>
    <s v="FL1169"/>
    <s v="Houston"/>
    <s v="Sydney"/>
    <x v="1"/>
    <n v="30000"/>
    <n v="-160.33160879965001"/>
    <n v="-2.8762969483072598"/>
    <n v="2500"/>
    <n v="356"/>
    <n v="127"/>
    <x v="12"/>
    <x v="14"/>
  </r>
  <r>
    <s v="FL1170"/>
    <s v="New York"/>
    <s v="Dubai"/>
    <x v="5"/>
    <n v="30000"/>
    <n v="170.30813867003999"/>
    <n v="2.5371796592267502"/>
    <n v="3500"/>
    <n v="402"/>
    <n v="200"/>
    <x v="20"/>
    <x v="40"/>
  </r>
  <r>
    <s v="FL1171"/>
    <s v="New York"/>
    <s v="Paris"/>
    <x v="6"/>
    <n v="30000"/>
    <n v="-98.594880750118094"/>
    <n v="-34.475709331892901"/>
    <n v="2000"/>
    <n v="300"/>
    <n v="200"/>
    <x v="13"/>
    <x v="37"/>
  </r>
  <r>
    <s v="FL1172"/>
    <s v="Los Angeles"/>
    <s v="Sydney"/>
    <x v="2"/>
    <n v="30000"/>
    <n v="-70.488460930938899"/>
    <n v="13.1475961114228"/>
    <n v="3000"/>
    <n v="356"/>
    <n v="145"/>
    <x v="4"/>
    <x v="4"/>
  </r>
  <r>
    <s v="FL1173"/>
    <s v="Houston"/>
    <s v="Paris"/>
    <x v="1"/>
    <n v="30000"/>
    <n v="-70.580695588190196"/>
    <n v="-31.461984670282"/>
    <n v="2647"/>
    <n v="354"/>
    <n v="113"/>
    <x v="19"/>
    <x v="22"/>
  </r>
  <r>
    <s v="FL1174"/>
    <s v="Houston"/>
    <s v="Tokyo"/>
    <x v="0"/>
    <n v="30000"/>
    <n v="-97.050001637753994"/>
    <n v="-82.931505436502604"/>
    <n v="2550"/>
    <n v="397"/>
    <n v="120"/>
    <x v="0"/>
    <x v="0"/>
  </r>
  <r>
    <s v="FL1175"/>
    <s v="Los Angeles"/>
    <s v="London"/>
    <x v="2"/>
    <n v="30000"/>
    <n v="-179.469424048928"/>
    <n v="-41.040251038015903"/>
    <n v="3000"/>
    <n v="300"/>
    <n v="150"/>
    <x v="10"/>
    <x v="28"/>
  </r>
  <r>
    <s v="FL1176"/>
    <s v="Chicago"/>
    <s v="Paris"/>
    <x v="0"/>
    <n v="30000"/>
    <n v="82.564125871678698"/>
    <n v="-88.851772186813704"/>
    <n v="2500"/>
    <n v="300"/>
    <n v="200"/>
    <x v="5"/>
    <x v="11"/>
  </r>
  <r>
    <s v="FL1177"/>
    <s v="New York"/>
    <s v="London"/>
    <x v="3"/>
    <n v="32000"/>
    <n v="168.064379927743"/>
    <n v="86.103861670234195"/>
    <n v="2500"/>
    <n v="300"/>
    <n v="100"/>
    <x v="16"/>
    <x v="36"/>
  </r>
  <r>
    <s v="FL1178"/>
    <s v="Miami"/>
    <s v="Sydney"/>
    <x v="6"/>
    <n v="35000"/>
    <n v="-99.254346017383796"/>
    <n v="83.834497767554595"/>
    <n v="2500"/>
    <n v="600"/>
    <n v="105"/>
    <x v="3"/>
    <x v="26"/>
  </r>
  <r>
    <s v="FL1179"/>
    <s v="New York"/>
    <s v="London"/>
    <x v="1"/>
    <n v="30000"/>
    <n v="58.696989049232101"/>
    <n v="-18.872046454985099"/>
    <n v="3500"/>
    <n v="374"/>
    <n v="200"/>
    <x v="16"/>
    <x v="6"/>
  </r>
  <r>
    <s v="FL1180"/>
    <s v="New York"/>
    <s v="Paris"/>
    <x v="1"/>
    <n v="32000"/>
    <n v="87.082677705137399"/>
    <n v="41.106753781136298"/>
    <n v="2500"/>
    <n v="600"/>
    <n v="150"/>
    <x v="13"/>
    <x v="13"/>
  </r>
  <r>
    <s v="FL1181"/>
    <s v="Chicago"/>
    <s v="Tokyo"/>
    <x v="2"/>
    <n v="30000"/>
    <n v="125.433136472589"/>
    <n v="-27.7549022861235"/>
    <n v="2583"/>
    <n v="397"/>
    <n v="133"/>
    <x v="2"/>
    <x v="2"/>
  </r>
  <r>
    <s v="FL1182"/>
    <s v="New York"/>
    <s v="Sydney"/>
    <x v="1"/>
    <n v="30000"/>
    <n v="-27.8534890751007"/>
    <n v="30.796768275475699"/>
    <n v="2000"/>
    <n v="150"/>
    <n v="150"/>
    <x v="15"/>
    <x v="10"/>
  </r>
  <r>
    <s v="FL1183"/>
    <s v="Los Angeles"/>
    <s v="Paris"/>
    <x v="5"/>
    <n v="30000"/>
    <n v="-70.944873969445496"/>
    <n v="54.9774077482762"/>
    <n v="3500"/>
    <n v="150"/>
    <n v="50"/>
    <x v="18"/>
    <x v="11"/>
  </r>
  <r>
    <s v="FL1184"/>
    <s v="Los Angeles"/>
    <s v="Sydney"/>
    <x v="2"/>
    <n v="30000"/>
    <n v="-62.893751751708798"/>
    <n v="80.416124044603293"/>
    <n v="3000"/>
    <n v="356"/>
    <n v="145"/>
    <x v="4"/>
    <x v="4"/>
  </r>
  <r>
    <s v="FL1185"/>
    <s v="Houston"/>
    <s v="Dubai"/>
    <x v="2"/>
    <n v="30000"/>
    <n v="76.543679915464594"/>
    <n v="-17.961790347059001"/>
    <n v="2500"/>
    <n v="402"/>
    <n v="111"/>
    <x v="11"/>
    <x v="19"/>
  </r>
  <r>
    <s v="FL1186"/>
    <s v="Miami"/>
    <s v="London"/>
    <x v="4"/>
    <n v="35000"/>
    <n v="114.040607942029"/>
    <n v="50.993636932088599"/>
    <n v="3000"/>
    <n v="150"/>
    <n v="150"/>
    <x v="14"/>
    <x v="48"/>
  </r>
  <r>
    <s v="FL1187"/>
    <s v="New York"/>
    <s v="Dubai"/>
    <x v="3"/>
    <n v="32000"/>
    <n v="-114.618971607623"/>
    <n v="-42.132878886218599"/>
    <n v="2500"/>
    <n v="402"/>
    <n v="150"/>
    <x v="20"/>
    <x v="38"/>
  </r>
  <r>
    <s v="FL1188"/>
    <s v="New York"/>
    <s v="Paris"/>
    <x v="4"/>
    <n v="30000"/>
    <n v="-46.4612370632045"/>
    <n v="88.2598146828567"/>
    <n v="2000"/>
    <n v="600"/>
    <n v="50"/>
    <x v="13"/>
    <x v="51"/>
  </r>
  <r>
    <s v="FL1189"/>
    <s v="Chicago"/>
    <s v="Tokyo"/>
    <x v="6"/>
    <n v="35000"/>
    <n v="144.698470829694"/>
    <n v="-85.361472222416793"/>
    <n v="2583"/>
    <n v="397"/>
    <n v="100"/>
    <x v="2"/>
    <x v="52"/>
  </r>
  <r>
    <s v="FL1190"/>
    <s v="Los Angeles"/>
    <s v="Sydney"/>
    <x v="5"/>
    <n v="35000"/>
    <n v="110.409667090106"/>
    <n v="18.635185170201801"/>
    <n v="3000"/>
    <n v="150"/>
    <n v="200"/>
    <x v="4"/>
    <x v="11"/>
  </r>
  <r>
    <s v="FL1191"/>
    <s v="Miami"/>
    <s v="London"/>
    <x v="6"/>
    <n v="30000"/>
    <n v="174.54902499449099"/>
    <n v="28.711076697238902"/>
    <n v="2615"/>
    <n v="450"/>
    <n v="121"/>
    <x v="14"/>
    <x v="28"/>
  </r>
  <r>
    <s v="FL1192"/>
    <s v="Houston"/>
    <s v="Sydney"/>
    <x v="1"/>
    <n v="30000"/>
    <n v="91.529373485549101"/>
    <n v="33.848200273343203"/>
    <n v="2500"/>
    <n v="356"/>
    <n v="127"/>
    <x v="12"/>
    <x v="14"/>
  </r>
  <r>
    <s v="FL1193"/>
    <s v="Los Angeles"/>
    <s v="Paris"/>
    <x v="2"/>
    <n v="30000"/>
    <n v="-38.449727629948001"/>
    <n v="-68.330235817963995"/>
    <n v="2882"/>
    <n v="354"/>
    <n v="125"/>
    <x v="18"/>
    <x v="8"/>
  </r>
  <r>
    <s v="FL1194"/>
    <s v="Houston"/>
    <s v="Sydney"/>
    <x v="6"/>
    <n v="32000"/>
    <n v="32.629620238069599"/>
    <n v="78.935361025163502"/>
    <n v="2000"/>
    <n v="356"/>
    <n v="127"/>
    <x v="12"/>
    <x v="44"/>
  </r>
  <r>
    <s v="FL1195"/>
    <s v="Chicago"/>
    <s v="London"/>
    <x v="6"/>
    <n v="32000"/>
    <n v="57.965131529035297"/>
    <n v="-57.387009770985102"/>
    <n v="2000"/>
    <n v="300"/>
    <n v="150"/>
    <x v="6"/>
    <x v="37"/>
  </r>
  <r>
    <s v="FL1196"/>
    <s v="Chicago"/>
    <s v="Paris"/>
    <x v="0"/>
    <n v="30000"/>
    <n v="-151.755906125835"/>
    <n v="22.095612583171398"/>
    <n v="2928"/>
    <n v="354"/>
    <n v="121"/>
    <x v="5"/>
    <x v="5"/>
  </r>
  <r>
    <s v="FL1197"/>
    <s v="New York"/>
    <s v="Sydney"/>
    <x v="1"/>
    <n v="30000"/>
    <n v="16.018905277391401"/>
    <n v="-49.918305757844699"/>
    <n v="2000"/>
    <n v="150"/>
    <n v="100"/>
    <x v="15"/>
    <x v="10"/>
  </r>
  <r>
    <s v="FL1198"/>
    <s v="Miami"/>
    <s v="Tokyo"/>
    <x v="1"/>
    <n v="30000"/>
    <n v="75.355498250139405"/>
    <n v="-34.701044936171201"/>
    <n v="2729"/>
    <n v="397"/>
    <n v="126"/>
    <x v="1"/>
    <x v="1"/>
  </r>
  <r>
    <s v="FL1199"/>
    <s v="Houston"/>
    <s v="Paris"/>
    <x v="1"/>
    <n v="30000"/>
    <n v="-119.764330559618"/>
    <n v="8.3625375110623903"/>
    <n v="2647"/>
    <n v="354"/>
    <n v="113"/>
    <x v="19"/>
    <x v="22"/>
  </r>
  <r>
    <s v="FL1200"/>
    <s v="Los Angeles"/>
    <s v="Paris"/>
    <x v="3"/>
    <n v="35000"/>
    <n v="101.02741827320099"/>
    <n v="-14.9051846583762"/>
    <n v="3500"/>
    <n v="600"/>
    <n v="150"/>
    <x v="18"/>
    <x v="50"/>
  </r>
  <r>
    <s v="FL1201"/>
    <s v="Chicago"/>
    <s v="Tokyo"/>
    <x v="6"/>
    <n v="30000"/>
    <n v="30.1582009850802"/>
    <n v="-61.159391824228898"/>
    <n v="2000"/>
    <n v="600"/>
    <n v="100"/>
    <x v="2"/>
    <x v="26"/>
  </r>
  <r>
    <s v="FL1202"/>
    <s v="New York"/>
    <s v="Dubai"/>
    <x v="7"/>
    <n v="32000"/>
    <n v="162.799842851134"/>
    <n v="-59.231447564247297"/>
    <n v="3500"/>
    <n v="450"/>
    <n v="200"/>
    <x v="20"/>
    <x v="53"/>
  </r>
  <r>
    <s v="FL1203"/>
    <s v="New York"/>
    <s v="London"/>
    <x v="3"/>
    <n v="30000"/>
    <n v="-164.727972645519"/>
    <n v="-14.733938130696099"/>
    <n v="2000"/>
    <n v="150"/>
    <n v="150"/>
    <x v="16"/>
    <x v="15"/>
  </r>
  <r>
    <s v="FL1204"/>
    <s v="Houston"/>
    <s v="Dubai"/>
    <x v="2"/>
    <n v="30000"/>
    <n v="-84.482590480031902"/>
    <n v="46.310936089590101"/>
    <n v="2500"/>
    <n v="402"/>
    <n v="111"/>
    <x v="11"/>
    <x v="19"/>
  </r>
  <r>
    <s v="FL1205"/>
    <s v="Chicago"/>
    <s v="Sydney"/>
    <x v="1"/>
    <n v="35000"/>
    <n v="36.5593965479367"/>
    <n v="71.633636432601904"/>
    <n v="2678"/>
    <n v="150"/>
    <n v="50"/>
    <x v="17"/>
    <x v="10"/>
  </r>
  <r>
    <s v="FL1206"/>
    <s v="Miami"/>
    <s v="Tokyo"/>
    <x v="4"/>
    <n v="30000"/>
    <n v="-73.238431605864903"/>
    <n v="-74.857020793311094"/>
    <n v="2500"/>
    <n v="300"/>
    <n v="200"/>
    <x v="1"/>
    <x v="12"/>
  </r>
  <r>
    <s v="FL1207"/>
    <s v="Chicago"/>
    <s v="Dubai"/>
    <x v="6"/>
    <n v="30000"/>
    <n v="77.192699065647204"/>
    <n v="-19.241296639307802"/>
    <n v="2500"/>
    <n v="450"/>
    <n v="114"/>
    <x v="9"/>
    <x v="28"/>
  </r>
  <r>
    <s v="FL1208"/>
    <s v="Houston"/>
    <s v="Paris"/>
    <x v="1"/>
    <n v="30000"/>
    <n v="93.241901707895195"/>
    <n v="-71.955798529882202"/>
    <n v="2647"/>
    <n v="354"/>
    <n v="113"/>
    <x v="19"/>
    <x v="22"/>
  </r>
  <r>
    <s v="FL1209"/>
    <s v="Houston"/>
    <s v="Sydney"/>
    <x v="1"/>
    <n v="30000"/>
    <n v="-143.09425293606901"/>
    <n v="-87.013353486132402"/>
    <n v="2500"/>
    <n v="356"/>
    <n v="127"/>
    <x v="12"/>
    <x v="14"/>
  </r>
  <r>
    <s v="FL1210"/>
    <s v="Chicago"/>
    <s v="Sydney"/>
    <x v="1"/>
    <n v="30000"/>
    <n v="4.9876071144363703"/>
    <n v="29.109362875912201"/>
    <n v="2678"/>
    <n v="356"/>
    <n v="137"/>
    <x v="17"/>
    <x v="14"/>
  </r>
  <r>
    <s v="FL1211"/>
    <s v="Houston"/>
    <s v="Dubai"/>
    <x v="2"/>
    <n v="30000"/>
    <n v="3.20060001278011"/>
    <n v="18.440899553985801"/>
    <n v="2500"/>
    <n v="402"/>
    <n v="111"/>
    <x v="11"/>
    <x v="19"/>
  </r>
  <r>
    <s v="FL1212"/>
    <s v="Chicago"/>
    <s v="Dubai"/>
    <x v="0"/>
    <n v="30000"/>
    <n v="-47.0589227224052"/>
    <n v="-60.656559513320502"/>
    <n v="2636"/>
    <n v="402"/>
    <n v="114"/>
    <x v="9"/>
    <x v="42"/>
  </r>
  <r>
    <s v="FL1213"/>
    <s v="Los Angeles"/>
    <s v="Tokyo"/>
    <x v="0"/>
    <n v="30000"/>
    <n v="155.85295052508201"/>
    <n v="-47.913690043248501"/>
    <n v="2586"/>
    <n v="397"/>
    <n v="119"/>
    <x v="23"/>
    <x v="0"/>
  </r>
  <r>
    <s v="FL1214"/>
    <s v="Chicago"/>
    <s v="London"/>
    <x v="5"/>
    <n v="35000"/>
    <n v="117.90227515436"/>
    <n v="-85.732604343986694"/>
    <n v="2678"/>
    <n v="450"/>
    <n v="200"/>
    <x v="6"/>
    <x v="16"/>
  </r>
  <r>
    <s v="FL1215"/>
    <s v="Chicago"/>
    <s v="Dubai"/>
    <x v="0"/>
    <n v="30000"/>
    <n v="70.995377487469199"/>
    <n v="60.290497024992703"/>
    <n v="2636"/>
    <n v="402"/>
    <n v="114"/>
    <x v="9"/>
    <x v="42"/>
  </r>
  <r>
    <s v="FL1216"/>
    <s v="Houston"/>
    <s v="Dubai"/>
    <x v="2"/>
    <n v="35000"/>
    <n v="77.157588864599106"/>
    <n v="85.444307288739296"/>
    <n v="2500"/>
    <n v="300"/>
    <n v="100"/>
    <x v="11"/>
    <x v="28"/>
  </r>
  <r>
    <s v="FL1217"/>
    <s v="Houston"/>
    <s v="Paris"/>
    <x v="1"/>
    <n v="32000"/>
    <n v="-13.7821882272771"/>
    <n v="-65.617283376955697"/>
    <n v="2500"/>
    <n v="450"/>
    <n v="50"/>
    <x v="19"/>
    <x v="26"/>
  </r>
  <r>
    <s v="FL1218"/>
    <s v="New York"/>
    <s v="Sydney"/>
    <x v="1"/>
    <n v="30000"/>
    <n v="151.558027594767"/>
    <n v="-48.334461522246301"/>
    <n v="2800"/>
    <n v="356"/>
    <n v="120"/>
    <x v="15"/>
    <x v="14"/>
  </r>
  <r>
    <s v="FL1219"/>
    <s v="New York"/>
    <s v="London"/>
    <x v="3"/>
    <n v="30000"/>
    <n v="70.054353811182807"/>
    <n v="66.313714310448105"/>
    <n v="2760"/>
    <n v="300"/>
    <n v="50"/>
    <x v="16"/>
    <x v="36"/>
  </r>
  <r>
    <s v="FL1220"/>
    <s v="Los Angeles"/>
    <s v="Paris"/>
    <x v="2"/>
    <n v="30000"/>
    <n v="82.433182196093895"/>
    <n v="76.763483632113306"/>
    <n v="2882"/>
    <n v="354"/>
    <n v="125"/>
    <x v="18"/>
    <x v="8"/>
  </r>
  <r>
    <s v="FL1221"/>
    <s v="New York"/>
    <s v="Tokyo"/>
    <x v="1"/>
    <n v="30000"/>
    <n v="130.20872536344399"/>
    <n v="-14.4670710947741"/>
    <n v="2954"/>
    <n v="397"/>
    <n v="128"/>
    <x v="24"/>
    <x v="1"/>
  </r>
  <r>
    <s v="FL1222"/>
    <s v="Chicago"/>
    <s v="Tokyo"/>
    <x v="5"/>
    <n v="32000"/>
    <n v="-81.334227836811195"/>
    <n v="-80.887954991566701"/>
    <n v="2000"/>
    <n v="300"/>
    <n v="50"/>
    <x v="2"/>
    <x v="24"/>
  </r>
  <r>
    <s v="FL1223"/>
    <s v="Houston"/>
    <s v="Dubai"/>
    <x v="1"/>
    <n v="35000"/>
    <n v="110.545525392013"/>
    <n v="-82.909469935292506"/>
    <n v="2000"/>
    <n v="450"/>
    <n v="200"/>
    <x v="11"/>
    <x v="26"/>
  </r>
  <r>
    <s v="FL1224"/>
    <s v="New York"/>
    <s v="Dubai"/>
    <x v="3"/>
    <n v="35000"/>
    <n v="-109.71338293566301"/>
    <n v="13.310975892421901"/>
    <n v="2000"/>
    <n v="450"/>
    <n v="150"/>
    <x v="20"/>
    <x v="11"/>
  </r>
  <r>
    <s v="FL1225"/>
    <s v="New York"/>
    <s v="Tokyo"/>
    <x v="5"/>
    <n v="30000"/>
    <n v="-55.676897191840403"/>
    <n v="-19.278880399227798"/>
    <n v="2954"/>
    <n v="600"/>
    <n v="200"/>
    <x v="24"/>
    <x v="33"/>
  </r>
  <r>
    <s v="FL1226"/>
    <s v="Los Angeles"/>
    <s v="Dubai"/>
    <x v="6"/>
    <n v="32000"/>
    <n v="-59.180236462856598"/>
    <n v="-84.842563036022199"/>
    <n v="3500"/>
    <n v="150"/>
    <n v="200"/>
    <x v="22"/>
    <x v="32"/>
  </r>
  <r>
    <s v="FL1227"/>
    <s v="Los Angeles"/>
    <s v="London"/>
    <x v="2"/>
    <n v="30000"/>
    <n v="172.26916862009099"/>
    <n v="14.985430616260199"/>
    <n v="2760"/>
    <n v="374"/>
    <n v="131"/>
    <x v="10"/>
    <x v="9"/>
  </r>
  <r>
    <s v="FL1228"/>
    <s v="Chicago"/>
    <s v="Dubai"/>
    <x v="0"/>
    <n v="30000"/>
    <n v="128.35340054925399"/>
    <n v="-87.965543413975993"/>
    <n v="2636"/>
    <n v="402"/>
    <n v="114"/>
    <x v="9"/>
    <x v="42"/>
  </r>
  <r>
    <s v="FL1229"/>
    <s v="Houston"/>
    <s v="Sydney"/>
    <x v="1"/>
    <n v="35000"/>
    <n v="72.421150172493498"/>
    <n v="51.726952466869101"/>
    <n v="3500"/>
    <n v="356"/>
    <n v="127"/>
    <x v="12"/>
    <x v="14"/>
  </r>
  <r>
    <s v="FL1230"/>
    <s v="Los Angeles"/>
    <s v="Dubai"/>
    <x v="6"/>
    <n v="32000"/>
    <n v="81.740434181540394"/>
    <n v="-34.842091913393098"/>
    <n v="3000"/>
    <n v="300"/>
    <n v="150"/>
    <x v="22"/>
    <x v="37"/>
  </r>
  <r>
    <s v="FL1231"/>
    <s v="New York"/>
    <s v="Paris"/>
    <x v="1"/>
    <n v="30000"/>
    <n v="22.3462059849256"/>
    <n v="-82.753559458338202"/>
    <n v="2847"/>
    <n v="354"/>
    <n v="122"/>
    <x v="13"/>
    <x v="22"/>
  </r>
  <r>
    <s v="FL1232"/>
    <s v="Houston"/>
    <s v="London"/>
    <x v="6"/>
    <n v="30000"/>
    <n v="160.95264015906699"/>
    <n v="15.9033997769676"/>
    <n v="2000"/>
    <n v="600"/>
    <n v="138"/>
    <x v="8"/>
    <x v="26"/>
  </r>
  <r>
    <s v="FL1233"/>
    <s v="Houston"/>
    <s v="Paris"/>
    <x v="6"/>
    <n v="35000"/>
    <n v="-1.3468489623498401"/>
    <n v="-18.416805402050201"/>
    <n v="2647"/>
    <n v="600"/>
    <n v="50"/>
    <x v="19"/>
    <x v="26"/>
  </r>
  <r>
    <s v="FL1234"/>
    <s v="New York"/>
    <s v="Paris"/>
    <x v="1"/>
    <n v="30000"/>
    <n v="-43.013624446838001"/>
    <n v="85.284074404286898"/>
    <n v="2847"/>
    <n v="354"/>
    <n v="122"/>
    <x v="13"/>
    <x v="22"/>
  </r>
  <r>
    <s v="FL1235"/>
    <s v="Los Angeles"/>
    <s v="Sydney"/>
    <x v="2"/>
    <n v="30000"/>
    <n v="-121.307278704627"/>
    <n v="7.9557592506663903"/>
    <n v="3000"/>
    <n v="356"/>
    <n v="145"/>
    <x v="4"/>
    <x v="4"/>
  </r>
  <r>
    <s v="FL1236"/>
    <s v="New York"/>
    <s v="London"/>
    <x v="6"/>
    <n v="30000"/>
    <n v="103.03403481398099"/>
    <n v="-40.456947413338497"/>
    <n v="2760"/>
    <n v="600"/>
    <n v="150"/>
    <x v="16"/>
    <x v="26"/>
  </r>
  <r>
    <s v="FL1237"/>
    <s v="Houston"/>
    <s v="London"/>
    <x v="2"/>
    <n v="30000"/>
    <n v="84.399815547212896"/>
    <n v="37.698995634115498"/>
    <n v="2846"/>
    <n v="374"/>
    <n v="138"/>
    <x v="8"/>
    <x v="9"/>
  </r>
  <r>
    <s v="FL1238"/>
    <s v="Miami"/>
    <s v="London"/>
    <x v="2"/>
    <n v="30000"/>
    <n v="-41.6321861313114"/>
    <n v="-41.131439542312002"/>
    <n v="2615"/>
    <n v="374"/>
    <n v="121"/>
    <x v="14"/>
    <x v="9"/>
  </r>
  <r>
    <s v="FL1239"/>
    <s v="Miami"/>
    <s v="London"/>
    <x v="2"/>
    <n v="30000"/>
    <n v="-170.930370974677"/>
    <n v="72.763792453361702"/>
    <n v="2615"/>
    <n v="374"/>
    <n v="121"/>
    <x v="14"/>
    <x v="9"/>
  </r>
  <r>
    <s v="FL1240"/>
    <s v="Chicago"/>
    <s v="London"/>
    <x v="6"/>
    <n v="32000"/>
    <n v="122.039037978484"/>
    <n v="-22.5500453086722"/>
    <n v="2500"/>
    <n v="600"/>
    <n v="50"/>
    <x v="6"/>
    <x v="26"/>
  </r>
  <r>
    <s v="FL1241"/>
    <s v="New York"/>
    <s v="Sydney"/>
    <x v="6"/>
    <n v="30000"/>
    <n v="-175.88952595653399"/>
    <n v="8.9763412997169407"/>
    <n v="2000"/>
    <n v="450"/>
    <n v="150"/>
    <x v="15"/>
    <x v="28"/>
  </r>
  <r>
    <s v="FL1242"/>
    <s v="New York"/>
    <s v="Dubai"/>
    <x v="7"/>
    <n v="32000"/>
    <n v="73.331920666458302"/>
    <n v="-80.896841311638795"/>
    <n v="2500"/>
    <n v="600"/>
    <n v="100"/>
    <x v="20"/>
    <x v="54"/>
  </r>
  <r>
    <s v="FL1243"/>
    <s v="Chicago"/>
    <s v="Paris"/>
    <x v="4"/>
    <n v="35000"/>
    <n v="169.29255950138099"/>
    <n v="-13.2981771685985"/>
    <n v="2500"/>
    <n v="150"/>
    <n v="200"/>
    <x v="5"/>
    <x v="48"/>
  </r>
  <r>
    <s v="FL1244"/>
    <s v="Chicago"/>
    <s v="London"/>
    <x v="1"/>
    <n v="30000"/>
    <n v="-22.441921866646801"/>
    <n v="59.825437138979098"/>
    <n v="2678"/>
    <n v="374"/>
    <n v="116"/>
    <x v="6"/>
    <x v="6"/>
  </r>
  <r>
    <s v="FL1245"/>
    <s v="Chicago"/>
    <s v="Dubai"/>
    <x v="6"/>
    <n v="32000"/>
    <n v="-95.409574201457005"/>
    <n v="55.016784965401499"/>
    <n v="2000"/>
    <n v="300"/>
    <n v="114"/>
    <x v="9"/>
    <x v="37"/>
  </r>
  <r>
    <s v="FL1246"/>
    <s v="Houston"/>
    <s v="Dubai"/>
    <x v="2"/>
    <n v="30000"/>
    <n v="73.753563615617395"/>
    <n v="-49.622659406365301"/>
    <n v="2500"/>
    <n v="450"/>
    <n v="100"/>
    <x v="11"/>
    <x v="7"/>
  </r>
  <r>
    <s v="FL1247"/>
    <s v="New York"/>
    <s v="Paris"/>
    <x v="1"/>
    <n v="30000"/>
    <n v="114.166131125611"/>
    <n v="-49.305767218098701"/>
    <n v="2847"/>
    <n v="354"/>
    <n v="122"/>
    <x v="13"/>
    <x v="22"/>
  </r>
  <r>
    <s v="FL1248"/>
    <s v="Houston"/>
    <s v="Sydney"/>
    <x v="1"/>
    <n v="30000"/>
    <n v="16.714913788025001"/>
    <n v="57.1149561983826"/>
    <n v="3000"/>
    <n v="356"/>
    <n v="127"/>
    <x v="12"/>
    <x v="14"/>
  </r>
  <r>
    <s v="FL1249"/>
    <s v="Chicago"/>
    <s v="Tokyo"/>
    <x v="2"/>
    <n v="30000"/>
    <n v="168.13269909221299"/>
    <n v="77.471715630478599"/>
    <n v="2583"/>
    <n v="397"/>
    <n v="133"/>
    <x v="2"/>
    <x v="2"/>
  </r>
  <r>
    <s v="FL1250"/>
    <s v="New York"/>
    <s v="Tokyo"/>
    <x v="1"/>
    <n v="30000"/>
    <n v="-161.39926020313399"/>
    <n v="-72.835034170859402"/>
    <n v="2954"/>
    <n v="397"/>
    <n v="128"/>
    <x v="24"/>
    <x v="1"/>
  </r>
  <r>
    <s v="FL1251"/>
    <s v="Houston"/>
    <s v="Dubai"/>
    <x v="2"/>
    <n v="30000"/>
    <n v="1.72641538963012"/>
    <n v="-8.9894449032794501"/>
    <n v="2500"/>
    <n v="402"/>
    <n v="111"/>
    <x v="11"/>
    <x v="19"/>
  </r>
  <r>
    <s v="FL1252"/>
    <s v="Houston"/>
    <s v="Paris"/>
    <x v="1"/>
    <n v="35000"/>
    <n v="78.643421036117999"/>
    <n v="-29.2582297864388"/>
    <n v="3000"/>
    <n v="600"/>
    <n v="200"/>
    <x v="19"/>
    <x v="13"/>
  </r>
  <r>
    <s v="FL1253"/>
    <s v="Chicago"/>
    <s v="Tokyo"/>
    <x v="3"/>
    <n v="35000"/>
    <n v="130.55056961370499"/>
    <n v="66.723921982339107"/>
    <n v="2000"/>
    <n v="397"/>
    <n v="200"/>
    <x v="2"/>
    <x v="29"/>
  </r>
  <r>
    <s v="FL1254"/>
    <s v="New York"/>
    <s v="Dubai"/>
    <x v="7"/>
    <n v="30000"/>
    <n v="-115.467979713196"/>
    <n v="-74.965515357596601"/>
    <n v="2588"/>
    <n v="402"/>
    <n v="134"/>
    <x v="20"/>
    <x v="23"/>
  </r>
  <r>
    <s v="FL1255"/>
    <s v="Chicago"/>
    <s v="Sydney"/>
    <x v="1"/>
    <n v="35000"/>
    <n v="108.001253434925"/>
    <n v="-51.997330339553301"/>
    <n v="2000"/>
    <n v="600"/>
    <n v="137"/>
    <x v="17"/>
    <x v="13"/>
  </r>
  <r>
    <s v="FL1256"/>
    <s v="New York"/>
    <s v="Tokyo"/>
    <x v="1"/>
    <n v="30000"/>
    <n v="18.974547258676299"/>
    <n v="45.444300765568997"/>
    <n v="2954"/>
    <n v="397"/>
    <n v="128"/>
    <x v="24"/>
    <x v="1"/>
  </r>
  <r>
    <s v="FL1257"/>
    <s v="Miami"/>
    <s v="Dubai"/>
    <x v="1"/>
    <n v="35000"/>
    <n v="-37.240674483613198"/>
    <n v="-80.767107183381199"/>
    <n v="2000"/>
    <n v="600"/>
    <n v="100"/>
    <x v="21"/>
    <x v="13"/>
  </r>
  <r>
    <s v="FL1258"/>
    <s v="Los Angeles"/>
    <s v="Dubai"/>
    <x v="4"/>
    <n v="32000"/>
    <n v="-132.582589711526"/>
    <n v="-1.34363147142793"/>
    <n v="3000"/>
    <n v="600"/>
    <n v="50"/>
    <x v="22"/>
    <x v="51"/>
  </r>
  <r>
    <s v="FL1259"/>
    <s v="Los Angeles"/>
    <s v="London"/>
    <x v="2"/>
    <n v="30000"/>
    <n v="131.50647320720799"/>
    <n v="-10.4207337576504"/>
    <n v="2760"/>
    <n v="374"/>
    <n v="131"/>
    <x v="10"/>
    <x v="9"/>
  </r>
  <r>
    <s v="FL1260"/>
    <s v="Los Angeles"/>
    <s v="Sydney"/>
    <x v="2"/>
    <n v="30000"/>
    <n v="-123.381645055302"/>
    <n v="-29.807787782025201"/>
    <n v="3000"/>
    <n v="356"/>
    <n v="145"/>
    <x v="4"/>
    <x v="4"/>
  </r>
  <r>
    <s v="FL1261"/>
    <s v="Chicago"/>
    <s v="London"/>
    <x v="1"/>
    <n v="30000"/>
    <n v="-68.476370684724301"/>
    <n v="-18.9769832425937"/>
    <n v="2678"/>
    <n v="374"/>
    <n v="116"/>
    <x v="6"/>
    <x v="6"/>
  </r>
  <r>
    <s v="FL1262"/>
    <s v="Miami"/>
    <s v="Paris"/>
    <x v="2"/>
    <n v="30000"/>
    <n v="-75.583608493522703"/>
    <n v="5.3893056474419296"/>
    <n v="3000"/>
    <n v="300"/>
    <n v="50"/>
    <x v="7"/>
    <x v="28"/>
  </r>
  <r>
    <s v="FL1263"/>
    <s v="New York"/>
    <s v="London"/>
    <x v="1"/>
    <n v="35000"/>
    <n v="133.70905230870801"/>
    <n v="-60.953875490091001"/>
    <n v="3500"/>
    <n v="150"/>
    <n v="150"/>
    <x v="16"/>
    <x v="10"/>
  </r>
  <r>
    <s v="FL1264"/>
    <s v="Houston"/>
    <s v="London"/>
    <x v="3"/>
    <n v="35000"/>
    <n v="62.173077915203301"/>
    <n v="12.959258091046699"/>
    <n v="3500"/>
    <n v="300"/>
    <n v="150"/>
    <x v="8"/>
    <x v="36"/>
  </r>
  <r>
    <s v="FL1265"/>
    <s v="New York"/>
    <s v="Tokyo"/>
    <x v="1"/>
    <n v="30000"/>
    <n v="106.805302988894"/>
    <n v="54.977819273997497"/>
    <n v="2954"/>
    <n v="397"/>
    <n v="128"/>
    <x v="24"/>
    <x v="1"/>
  </r>
  <r>
    <s v="FL1266"/>
    <s v="Houston"/>
    <s v="Dubai"/>
    <x v="2"/>
    <n v="30000"/>
    <n v="-89.831556434700403"/>
    <n v="46.828967362228603"/>
    <n v="2500"/>
    <n v="402"/>
    <n v="111"/>
    <x v="11"/>
    <x v="19"/>
  </r>
  <r>
    <s v="FL1267"/>
    <s v="New York"/>
    <s v="Sydney"/>
    <x v="3"/>
    <n v="30000"/>
    <n v="44.9546758585196"/>
    <n v="-62.298017155120696"/>
    <n v="2800"/>
    <n v="600"/>
    <n v="100"/>
    <x v="15"/>
    <x v="50"/>
  </r>
  <r>
    <s v="FL1268"/>
    <s v="Miami"/>
    <s v="London"/>
    <x v="5"/>
    <n v="30000"/>
    <n v="25.8285539317495"/>
    <n v="-63.135095446534699"/>
    <n v="2000"/>
    <n v="600"/>
    <n v="150"/>
    <x v="14"/>
    <x v="33"/>
  </r>
  <r>
    <s v="FL1269"/>
    <s v="Houston"/>
    <s v="Sydney"/>
    <x v="3"/>
    <n v="32000"/>
    <n v="119.818935643778"/>
    <n v="-41.7286138059156"/>
    <n v="2000"/>
    <n v="356"/>
    <n v="200"/>
    <x v="12"/>
    <x v="35"/>
  </r>
  <r>
    <s v="FL1270"/>
    <s v="Chicago"/>
    <s v="London"/>
    <x v="3"/>
    <n v="30000"/>
    <n v="146.19134177325401"/>
    <n v="-25.006549258613301"/>
    <n v="2000"/>
    <n v="300"/>
    <n v="100"/>
    <x v="6"/>
    <x v="36"/>
  </r>
  <r>
    <s v="FL1271"/>
    <s v="New York"/>
    <s v="Paris"/>
    <x v="4"/>
    <n v="30000"/>
    <n v="-175.623562268141"/>
    <n v="-16.477995346473101"/>
    <n v="2500"/>
    <n v="354"/>
    <n v="50"/>
    <x v="13"/>
    <x v="21"/>
  </r>
  <r>
    <s v="FL1272"/>
    <s v="New York"/>
    <s v="London"/>
    <x v="4"/>
    <n v="32000"/>
    <n v="62.647170861165399"/>
    <n v="32.345499030002102"/>
    <n v="2500"/>
    <n v="150"/>
    <n v="50"/>
    <x v="16"/>
    <x v="48"/>
  </r>
  <r>
    <s v="FL1273"/>
    <s v="Houston"/>
    <s v="Tokyo"/>
    <x v="3"/>
    <n v="35000"/>
    <n v="-161.339112316898"/>
    <n v="-79.797522210149594"/>
    <n v="2550"/>
    <n v="600"/>
    <n v="120"/>
    <x v="0"/>
    <x v="50"/>
  </r>
  <r>
    <s v="FL1274"/>
    <s v="Chicago"/>
    <s v="Dubai"/>
    <x v="0"/>
    <n v="30000"/>
    <n v="17.5891194278481"/>
    <n v="-83.758913239308001"/>
    <n v="2636"/>
    <n v="402"/>
    <n v="114"/>
    <x v="9"/>
    <x v="42"/>
  </r>
  <r>
    <s v="FL1275"/>
    <s v="Chicago"/>
    <s v="Paris"/>
    <x v="0"/>
    <n v="30000"/>
    <n v="-76.452217544275797"/>
    <n v="-19.456098670096399"/>
    <n v="2928"/>
    <n v="354"/>
    <n v="121"/>
    <x v="5"/>
    <x v="5"/>
  </r>
  <r>
    <s v="FL1276"/>
    <s v="Miami"/>
    <s v="London"/>
    <x v="4"/>
    <n v="35000"/>
    <n v="-69.560424172029201"/>
    <n v="35.489464584836497"/>
    <n v="2000"/>
    <n v="150"/>
    <n v="50"/>
    <x v="14"/>
    <x v="48"/>
  </r>
  <r>
    <s v="FL1277"/>
    <s v="Chicago"/>
    <s v="Sydney"/>
    <x v="1"/>
    <n v="30000"/>
    <n v="-52.934938757151599"/>
    <n v="-55.181638267833101"/>
    <n v="2678"/>
    <n v="356"/>
    <n v="137"/>
    <x v="17"/>
    <x v="14"/>
  </r>
  <r>
    <s v="FL1278"/>
    <s v="Chicago"/>
    <s v="Paris"/>
    <x v="3"/>
    <n v="35000"/>
    <n v="43.665281657859701"/>
    <n v="25.470806626125299"/>
    <n v="2500"/>
    <n v="300"/>
    <n v="50"/>
    <x v="5"/>
    <x v="36"/>
  </r>
  <r>
    <s v="FL1279"/>
    <s v="Chicago"/>
    <s v="Paris"/>
    <x v="6"/>
    <n v="30000"/>
    <n v="-59.742012359243098"/>
    <n v="-43.2309351707461"/>
    <n v="2500"/>
    <n v="600"/>
    <n v="50"/>
    <x v="5"/>
    <x v="26"/>
  </r>
  <r>
    <s v="FL1280"/>
    <s v="Los Angeles"/>
    <s v="London"/>
    <x v="2"/>
    <n v="30000"/>
    <n v="83.771658212500896"/>
    <n v="69.495499586432899"/>
    <n v="2760"/>
    <n v="374"/>
    <n v="131"/>
    <x v="10"/>
    <x v="9"/>
  </r>
  <r>
    <s v="FL1281"/>
    <s v="Miami"/>
    <s v="Paris"/>
    <x v="2"/>
    <n v="30000"/>
    <n v="-34.370141193406901"/>
    <n v="71.224189967990995"/>
    <n v="2718"/>
    <n v="354"/>
    <n v="115"/>
    <x v="7"/>
    <x v="8"/>
  </r>
  <r>
    <s v="FL1282"/>
    <s v="New York"/>
    <s v="Sydney"/>
    <x v="5"/>
    <n v="32000"/>
    <n v="-155.39284788841499"/>
    <n v="-36.4883032293612"/>
    <n v="2000"/>
    <n v="450"/>
    <n v="100"/>
    <x v="15"/>
    <x v="16"/>
  </r>
  <r>
    <s v="FL1283"/>
    <s v="Houston"/>
    <s v="Paris"/>
    <x v="6"/>
    <n v="32000"/>
    <n v="102.153543294279"/>
    <n v="-48.601124286616702"/>
    <n v="2647"/>
    <n v="300"/>
    <n v="200"/>
    <x v="19"/>
    <x v="37"/>
  </r>
  <r>
    <s v="FL1284"/>
    <s v="New York"/>
    <s v="Sydney"/>
    <x v="1"/>
    <n v="30000"/>
    <n v="-77.127003146625796"/>
    <n v="-15.9652850280784"/>
    <n v="3500"/>
    <n v="300"/>
    <n v="150"/>
    <x v="15"/>
    <x v="20"/>
  </r>
  <r>
    <s v="FL1285"/>
    <s v="Miami"/>
    <s v="London"/>
    <x v="3"/>
    <n v="30000"/>
    <n v="-24.203923344265501"/>
    <n v="-46.7043146675732"/>
    <n v="3000"/>
    <n v="450"/>
    <n v="50"/>
    <x v="14"/>
    <x v="11"/>
  </r>
  <r>
    <s v="FL1286"/>
    <s v="Houston"/>
    <s v="Dubai"/>
    <x v="2"/>
    <n v="30000"/>
    <n v="66.759797959884494"/>
    <n v="31.029091792506701"/>
    <n v="2500"/>
    <n v="402"/>
    <n v="111"/>
    <x v="11"/>
    <x v="19"/>
  </r>
  <r>
    <s v="FL1287"/>
    <s v="Miami"/>
    <s v="Paris"/>
    <x v="3"/>
    <n v="30000"/>
    <n v="-60.315783426463703"/>
    <n v="58.691643218691397"/>
    <n v="3500"/>
    <n v="300"/>
    <n v="115"/>
    <x v="7"/>
    <x v="36"/>
  </r>
  <r>
    <s v="FL1288"/>
    <s v="Chicago"/>
    <s v="Dubai"/>
    <x v="4"/>
    <n v="35000"/>
    <n v="-159.62916378718199"/>
    <n v="31.156583564019101"/>
    <n v="2636"/>
    <n v="450"/>
    <n v="114"/>
    <x v="9"/>
    <x v="30"/>
  </r>
  <r>
    <s v="FL1289"/>
    <s v="Houston"/>
    <s v="Sydney"/>
    <x v="1"/>
    <n v="30000"/>
    <n v="-45.388423075387102"/>
    <n v="58.383080504882898"/>
    <n v="2500"/>
    <n v="356"/>
    <n v="127"/>
    <x v="12"/>
    <x v="14"/>
  </r>
  <r>
    <s v="FL1290"/>
    <s v="Chicago"/>
    <s v="Paris"/>
    <x v="0"/>
    <n v="30000"/>
    <n v="160.00148976994899"/>
    <n v="-18.5414108026546"/>
    <n v="2928"/>
    <n v="354"/>
    <n v="121"/>
    <x v="5"/>
    <x v="5"/>
  </r>
  <r>
    <s v="FL1291"/>
    <s v="New York"/>
    <s v="Tokyo"/>
    <x v="1"/>
    <n v="30000"/>
    <n v="51.024383027481001"/>
    <n v="-61.862945272405"/>
    <n v="2954"/>
    <n v="397"/>
    <n v="128"/>
    <x v="24"/>
    <x v="1"/>
  </r>
  <r>
    <s v="FL1292"/>
    <s v="New York"/>
    <s v="Dubai"/>
    <x v="7"/>
    <n v="30000"/>
    <n v="61.732493520194502"/>
    <n v="42.831170531566599"/>
    <n v="2588"/>
    <n v="402"/>
    <n v="134"/>
    <x v="20"/>
    <x v="23"/>
  </r>
  <r>
    <s v="FL1293"/>
    <s v="Houston"/>
    <s v="Paris"/>
    <x v="6"/>
    <n v="30000"/>
    <n v="47.621575309550302"/>
    <n v="-25.1145890745203"/>
    <n v="2000"/>
    <n v="300"/>
    <n v="100"/>
    <x v="19"/>
    <x v="37"/>
  </r>
  <r>
    <s v="FL1294"/>
    <s v="Houston"/>
    <s v="Dubai"/>
    <x v="2"/>
    <n v="30000"/>
    <n v="-108.362829974603"/>
    <n v="30.8287485412439"/>
    <n v="2500"/>
    <n v="402"/>
    <n v="111"/>
    <x v="11"/>
    <x v="19"/>
  </r>
  <r>
    <s v="FL1295"/>
    <s v="Miami"/>
    <s v="Paris"/>
    <x v="1"/>
    <n v="35000"/>
    <n v="-29.399808923179201"/>
    <n v="-41.284090443282203"/>
    <n v="2500"/>
    <n v="600"/>
    <n v="150"/>
    <x v="7"/>
    <x v="13"/>
  </r>
  <r>
    <s v="FL1296"/>
    <s v="Miami"/>
    <s v="London"/>
    <x v="2"/>
    <n v="30000"/>
    <n v="90.338327410794605"/>
    <n v="-75.378665734798901"/>
    <n v="2615"/>
    <n v="374"/>
    <n v="121"/>
    <x v="14"/>
    <x v="9"/>
  </r>
  <r>
    <s v="FL1297"/>
    <s v="Chicago"/>
    <s v="Dubai"/>
    <x v="3"/>
    <n v="35000"/>
    <n v="-143.505756880863"/>
    <n v="88.664723187797406"/>
    <n v="2000"/>
    <n v="600"/>
    <n v="114"/>
    <x v="9"/>
    <x v="50"/>
  </r>
  <r>
    <s v="FL1298"/>
    <s v="Houston"/>
    <s v="Tokyo"/>
    <x v="0"/>
    <n v="30000"/>
    <n v="-79.973000607703597"/>
    <n v="-61.883728572492103"/>
    <n v="2550"/>
    <n v="397"/>
    <n v="120"/>
    <x v="0"/>
    <x v="0"/>
  </r>
  <r>
    <s v="FL1299"/>
    <s v="New York"/>
    <s v="Tokyo"/>
    <x v="1"/>
    <n v="30000"/>
    <n v="-80.525120952292696"/>
    <n v="87.915778913426607"/>
    <n v="2954"/>
    <n v="397"/>
    <n v="128"/>
    <x v="24"/>
    <x v="1"/>
  </r>
  <r>
    <s v="FL1300"/>
    <s v="Miami"/>
    <s v="Sydney"/>
    <x v="0"/>
    <n v="30000"/>
    <n v="-24.473186065977799"/>
    <n v="85.910387861960501"/>
    <n v="2931"/>
    <n v="356"/>
    <n v="105"/>
    <x v="3"/>
    <x v="3"/>
  </r>
  <r>
    <s v="FL1301"/>
    <s v="Miami"/>
    <s v="Paris"/>
    <x v="4"/>
    <n v="35000"/>
    <n v="172.932746739187"/>
    <n v="52.887258703447202"/>
    <n v="2500"/>
    <n v="300"/>
    <n v="115"/>
    <x v="7"/>
    <x v="12"/>
  </r>
  <r>
    <s v="FL1302"/>
    <s v="New York"/>
    <s v="Dubai"/>
    <x v="7"/>
    <n v="30000"/>
    <n v="-155.69908319382401"/>
    <n v="28.696133174759598"/>
    <n v="2588"/>
    <n v="402"/>
    <n v="134"/>
    <x v="20"/>
    <x v="23"/>
  </r>
  <r>
    <s v="FL1303"/>
    <s v="Miami"/>
    <s v="Sydney"/>
    <x v="4"/>
    <n v="32000"/>
    <n v="6.7323579770141997"/>
    <n v="14.0052690451953"/>
    <n v="3500"/>
    <n v="300"/>
    <n v="105"/>
    <x v="3"/>
    <x v="12"/>
  </r>
  <r>
    <s v="FL1304"/>
    <s v="Chicago"/>
    <s v="Dubai"/>
    <x v="3"/>
    <n v="30000"/>
    <n v="-115.428714475604"/>
    <n v="65.898278168010293"/>
    <n v="3500"/>
    <n v="450"/>
    <n v="50"/>
    <x v="9"/>
    <x v="11"/>
  </r>
  <r>
    <s v="FL1305"/>
    <s v="Houston"/>
    <s v="Paris"/>
    <x v="1"/>
    <n v="30000"/>
    <n v="169.44355634750801"/>
    <n v="-37.900886108492202"/>
    <n v="2647"/>
    <n v="354"/>
    <n v="113"/>
    <x v="19"/>
    <x v="22"/>
  </r>
  <r>
    <s v="FL1306"/>
    <s v="New York"/>
    <s v="Tokyo"/>
    <x v="1"/>
    <n v="30000"/>
    <n v="-139.210738298113"/>
    <n v="-5.8173817527221301"/>
    <n v="2954"/>
    <n v="397"/>
    <n v="128"/>
    <x v="24"/>
    <x v="1"/>
  </r>
  <r>
    <s v="FL1307"/>
    <s v="Houston"/>
    <s v="London"/>
    <x v="2"/>
    <n v="30000"/>
    <n v="-34.703639149827097"/>
    <n v="21.490194485970299"/>
    <n v="2846"/>
    <n v="374"/>
    <n v="138"/>
    <x v="8"/>
    <x v="9"/>
  </r>
  <r>
    <s v="FL1308"/>
    <s v="Miami"/>
    <s v="Tokyo"/>
    <x v="5"/>
    <n v="35000"/>
    <n v="85.6385945404582"/>
    <n v="-15.985714343491599"/>
    <n v="2729"/>
    <n v="300"/>
    <n v="200"/>
    <x v="1"/>
    <x v="24"/>
  </r>
  <r>
    <s v="FL1309"/>
    <s v="Miami"/>
    <s v="Sydney"/>
    <x v="0"/>
    <n v="30000"/>
    <n v="73.639594089880305"/>
    <n v="-13.052438263751799"/>
    <n v="2931"/>
    <n v="356"/>
    <n v="105"/>
    <x v="3"/>
    <x v="3"/>
  </r>
  <r>
    <s v="FL1310"/>
    <s v="New York"/>
    <s v="London"/>
    <x v="1"/>
    <n v="30000"/>
    <n v="-27.817690718184402"/>
    <n v="-30.548759849624801"/>
    <n v="2760"/>
    <n v="374"/>
    <n v="107"/>
    <x v="16"/>
    <x v="6"/>
  </r>
  <r>
    <s v="FL1311"/>
    <s v="Chicago"/>
    <s v="Sydney"/>
    <x v="1"/>
    <n v="30000"/>
    <n v="-55.251299537021403"/>
    <n v="11.5617270032165"/>
    <n v="2678"/>
    <n v="356"/>
    <n v="137"/>
    <x v="17"/>
    <x v="14"/>
  </r>
  <r>
    <s v="FL1312"/>
    <s v="Los Angeles"/>
    <s v="Paris"/>
    <x v="2"/>
    <n v="30000"/>
    <n v="-36.859543720966599"/>
    <n v="63.103415042720897"/>
    <n v="2882"/>
    <n v="354"/>
    <n v="125"/>
    <x v="18"/>
    <x v="8"/>
  </r>
  <r>
    <s v="FL1313"/>
    <s v="New York"/>
    <s v="London"/>
    <x v="3"/>
    <n v="35000"/>
    <n v="-84.8605452628899"/>
    <n v="-53.724891958863701"/>
    <n v="3500"/>
    <n v="600"/>
    <n v="50"/>
    <x v="16"/>
    <x v="50"/>
  </r>
  <r>
    <s v="FL1314"/>
    <s v="Los Angeles"/>
    <s v="Sydney"/>
    <x v="2"/>
    <n v="30000"/>
    <n v="-106.080142065552"/>
    <n v="78.197946975619502"/>
    <n v="3000"/>
    <n v="356"/>
    <n v="145"/>
    <x v="4"/>
    <x v="4"/>
  </r>
  <r>
    <s v="FL1315"/>
    <s v="Los Angeles"/>
    <s v="Paris"/>
    <x v="4"/>
    <n v="30000"/>
    <n v="-6.1057088787996197"/>
    <n v="34.035777674681299"/>
    <n v="3000"/>
    <n v="150"/>
    <n v="200"/>
    <x v="18"/>
    <x v="48"/>
  </r>
  <r>
    <s v="FL1316"/>
    <s v="Chicago"/>
    <s v="Tokyo"/>
    <x v="2"/>
    <n v="30000"/>
    <n v="-83.3278478156614"/>
    <n v="58.1891782824054"/>
    <n v="2583"/>
    <n v="397"/>
    <n v="133"/>
    <x v="2"/>
    <x v="2"/>
  </r>
  <r>
    <s v="FL1317"/>
    <s v="Los Angeles"/>
    <s v="Paris"/>
    <x v="4"/>
    <n v="30000"/>
    <n v="-76.513800636989998"/>
    <n v="10.1143246734021"/>
    <n v="2500"/>
    <n v="354"/>
    <n v="200"/>
    <x v="18"/>
    <x v="21"/>
  </r>
  <r>
    <s v="FL1318"/>
    <s v="Los Angeles"/>
    <s v="Dubai"/>
    <x v="7"/>
    <n v="30000"/>
    <n v="56.432182850840498"/>
    <n v="50.313006256331398"/>
    <n v="2794"/>
    <n v="402"/>
    <n v="113"/>
    <x v="22"/>
    <x v="23"/>
  </r>
  <r>
    <s v="FL1319"/>
    <s v="Chicago"/>
    <s v="Paris"/>
    <x v="0"/>
    <n v="30000"/>
    <n v="168.673439411961"/>
    <n v="-87.083928478895899"/>
    <n v="2928"/>
    <n v="354"/>
    <n v="121"/>
    <x v="5"/>
    <x v="5"/>
  </r>
  <r>
    <s v="FL1320"/>
    <s v="Los Angeles"/>
    <s v="Paris"/>
    <x v="6"/>
    <n v="30000"/>
    <n v="37.309392201374997"/>
    <n v="57.308476460316299"/>
    <n v="2500"/>
    <n v="150"/>
    <n v="200"/>
    <x v="18"/>
    <x v="32"/>
  </r>
  <r>
    <s v="FL1321"/>
    <s v="Los Angeles"/>
    <s v="Dubai"/>
    <x v="7"/>
    <n v="30000"/>
    <n v="-152.287391856612"/>
    <n v="-82.775005364633998"/>
    <n v="2794"/>
    <n v="402"/>
    <n v="113"/>
    <x v="22"/>
    <x v="23"/>
  </r>
  <r>
    <s v="FL1322"/>
    <s v="Los Angeles"/>
    <s v="Sydney"/>
    <x v="4"/>
    <n v="30000"/>
    <n v="-152.78989901253601"/>
    <n v="70.184407745315198"/>
    <n v="3000"/>
    <n v="356"/>
    <n v="200"/>
    <x v="4"/>
    <x v="43"/>
  </r>
  <r>
    <s v="FL1323"/>
    <s v="New York"/>
    <s v="Sydney"/>
    <x v="1"/>
    <n v="30000"/>
    <n v="162.512359504404"/>
    <n v="88.553294502955794"/>
    <n v="2800"/>
    <n v="356"/>
    <n v="120"/>
    <x v="15"/>
    <x v="14"/>
  </r>
  <r>
    <s v="FL1324"/>
    <s v="New York"/>
    <s v="Paris"/>
    <x v="1"/>
    <n v="30000"/>
    <n v="-72.9753154893599"/>
    <n v="-37.067856808179997"/>
    <n v="3500"/>
    <n v="600"/>
    <n v="50"/>
    <x v="13"/>
    <x v="13"/>
  </r>
  <r>
    <s v="FL1325"/>
    <s v="New York"/>
    <s v="Dubai"/>
    <x v="5"/>
    <n v="32000"/>
    <n v="-146.85588501030901"/>
    <n v="-52.142659868557097"/>
    <n v="2500"/>
    <n v="300"/>
    <n v="150"/>
    <x v="20"/>
    <x v="24"/>
  </r>
  <r>
    <s v="FL1326"/>
    <s v="Chicago"/>
    <s v="Dubai"/>
    <x v="0"/>
    <n v="30000"/>
    <n v="35.656051374137299"/>
    <n v="47.7654054944473"/>
    <n v="2636"/>
    <n v="402"/>
    <n v="114"/>
    <x v="9"/>
    <x v="42"/>
  </r>
  <r>
    <s v="FL1327"/>
    <s v="Miami"/>
    <s v="Tokyo"/>
    <x v="1"/>
    <n v="30000"/>
    <n v="44.513560184495802"/>
    <n v="-44.455258634354401"/>
    <n v="2729"/>
    <n v="397"/>
    <n v="126"/>
    <x v="1"/>
    <x v="1"/>
  </r>
  <r>
    <s v="FL1328"/>
    <s v="Los Angeles"/>
    <s v="Sydney"/>
    <x v="2"/>
    <n v="30000"/>
    <n v="53.461735242727698"/>
    <n v="65.801228970996604"/>
    <n v="3000"/>
    <n v="356"/>
    <n v="145"/>
    <x v="4"/>
    <x v="4"/>
  </r>
  <r>
    <s v="FL1329"/>
    <s v="Los Angeles"/>
    <s v="London"/>
    <x v="1"/>
    <n v="35000"/>
    <n v="-83.735269971285106"/>
    <n v="-71.488333411654196"/>
    <n v="2760"/>
    <n v="600"/>
    <n v="100"/>
    <x v="10"/>
    <x v="13"/>
  </r>
  <r>
    <s v="FL1330"/>
    <s v="Chicago"/>
    <s v="Sydney"/>
    <x v="3"/>
    <n v="35000"/>
    <n v="-174.56015368278901"/>
    <n v="-67.328064651715493"/>
    <n v="3000"/>
    <n v="450"/>
    <n v="100"/>
    <x v="17"/>
    <x v="11"/>
  </r>
  <r>
    <s v="FL1331"/>
    <s v="Los Angeles"/>
    <s v="Sydney"/>
    <x v="2"/>
    <n v="30000"/>
    <n v="167.40553300361"/>
    <n v="86.247279918110806"/>
    <n v="3000"/>
    <n v="356"/>
    <n v="145"/>
    <x v="4"/>
    <x v="4"/>
  </r>
  <r>
    <s v="FL1332"/>
    <s v="New York"/>
    <s v="Tokyo"/>
    <x v="1"/>
    <n v="30000"/>
    <n v="-89.678503551203093"/>
    <n v="31.291001688600801"/>
    <n v="2954"/>
    <n v="397"/>
    <n v="128"/>
    <x v="24"/>
    <x v="1"/>
  </r>
  <r>
    <s v="FL1333"/>
    <s v="Miami"/>
    <s v="London"/>
    <x v="2"/>
    <n v="30000"/>
    <n v="63.369463698917102"/>
    <n v="62.439700397211503"/>
    <n v="2615"/>
    <n v="374"/>
    <n v="121"/>
    <x v="14"/>
    <x v="9"/>
  </r>
  <r>
    <s v="FL1334"/>
    <s v="Houston"/>
    <s v="Tokyo"/>
    <x v="0"/>
    <n v="30000"/>
    <n v="74.386753156335502"/>
    <n v="-31.6207120767268"/>
    <n v="2550"/>
    <n v="397"/>
    <n v="120"/>
    <x v="0"/>
    <x v="0"/>
  </r>
  <r>
    <s v="FL1335"/>
    <s v="Los Angeles"/>
    <s v="London"/>
    <x v="5"/>
    <n v="30000"/>
    <n v="39.602670148614898"/>
    <n v="31.7670749137088"/>
    <n v="3000"/>
    <n v="374"/>
    <n v="131"/>
    <x v="10"/>
    <x v="41"/>
  </r>
  <r>
    <s v="FL1336"/>
    <s v="New York"/>
    <s v="Paris"/>
    <x v="1"/>
    <n v="32000"/>
    <n v="-67.353338083086598"/>
    <n v="16.963528915547499"/>
    <n v="2847"/>
    <n v="300"/>
    <n v="100"/>
    <x v="13"/>
    <x v="20"/>
  </r>
  <r>
    <s v="FL1337"/>
    <s v="Houston"/>
    <s v="London"/>
    <x v="5"/>
    <n v="30000"/>
    <n v="-82.405348644936296"/>
    <n v="18.5670216221305"/>
    <n v="3000"/>
    <n v="300"/>
    <n v="138"/>
    <x v="8"/>
    <x v="24"/>
  </r>
  <r>
    <s v="FL1338"/>
    <s v="Miami"/>
    <s v="Tokyo"/>
    <x v="3"/>
    <n v="30000"/>
    <n v="35.160581772973103"/>
    <n v="32.855842716789901"/>
    <n v="2729"/>
    <n v="300"/>
    <n v="150"/>
    <x v="1"/>
    <x v="36"/>
  </r>
  <r>
    <s v="FL1339"/>
    <s v="Houston"/>
    <s v="Sydney"/>
    <x v="1"/>
    <n v="30000"/>
    <n v="131.79442810020899"/>
    <n v="13.5646511632377"/>
    <n v="3000"/>
    <n v="600"/>
    <n v="50"/>
    <x v="12"/>
    <x v="13"/>
  </r>
  <r>
    <s v="FL1340"/>
    <s v="New York"/>
    <s v="London"/>
    <x v="1"/>
    <n v="32000"/>
    <n v="160.82414241242199"/>
    <n v="-12.7687735255201"/>
    <n v="3000"/>
    <n v="300"/>
    <n v="150"/>
    <x v="16"/>
    <x v="20"/>
  </r>
  <r>
    <s v="FL1341"/>
    <s v="Houston"/>
    <s v="London"/>
    <x v="5"/>
    <n v="30000"/>
    <n v="-141.87391041464701"/>
    <n v="-40.333915011501603"/>
    <n v="2500"/>
    <n v="150"/>
    <n v="150"/>
    <x v="8"/>
    <x v="11"/>
  </r>
  <r>
    <s v="FL1342"/>
    <s v="Chicago"/>
    <s v="Dubai"/>
    <x v="0"/>
    <n v="30000"/>
    <n v="-124.26169946482101"/>
    <n v="48.344639564376401"/>
    <n v="2636"/>
    <n v="402"/>
    <n v="114"/>
    <x v="9"/>
    <x v="42"/>
  </r>
  <r>
    <s v="FL1343"/>
    <s v="Houston"/>
    <s v="Sydney"/>
    <x v="6"/>
    <n v="30000"/>
    <n v="160.10505316190901"/>
    <n v="-49.270962599426497"/>
    <n v="2500"/>
    <n v="356"/>
    <n v="150"/>
    <x v="12"/>
    <x v="44"/>
  </r>
  <r>
    <s v="FL1344"/>
    <s v="Los Angeles"/>
    <s v="Paris"/>
    <x v="2"/>
    <n v="30000"/>
    <n v="85.152682200525305"/>
    <n v="34.6237751077946"/>
    <n v="2882"/>
    <n v="354"/>
    <n v="125"/>
    <x v="18"/>
    <x v="8"/>
  </r>
  <r>
    <s v="FL1345"/>
    <s v="Los Angeles"/>
    <s v="Tokyo"/>
    <x v="4"/>
    <n v="32000"/>
    <n v="137.877776938718"/>
    <n v="-48.000091923121197"/>
    <n v="2000"/>
    <n v="150"/>
    <n v="200"/>
    <x v="23"/>
    <x v="48"/>
  </r>
  <r>
    <s v="FL1346"/>
    <s v="Chicago"/>
    <s v="Paris"/>
    <x v="0"/>
    <n v="30000"/>
    <n v="-107.052251711276"/>
    <n v="22.5594305918017"/>
    <n v="2928"/>
    <n v="354"/>
    <n v="121"/>
    <x v="5"/>
    <x v="5"/>
  </r>
  <r>
    <s v="FL1347"/>
    <s v="New York"/>
    <s v="Sydney"/>
    <x v="6"/>
    <n v="35000"/>
    <n v="31.5309135993847"/>
    <n v="44.474088083225197"/>
    <n v="2800"/>
    <n v="600"/>
    <n v="120"/>
    <x v="15"/>
    <x v="26"/>
  </r>
  <r>
    <s v="FL1348"/>
    <s v="Los Angeles"/>
    <s v="London"/>
    <x v="1"/>
    <n v="30000"/>
    <n v="72.410253990290499"/>
    <n v="-50.631499996823003"/>
    <n v="2000"/>
    <n v="374"/>
    <n v="150"/>
    <x v="10"/>
    <x v="6"/>
  </r>
  <r>
    <s v="FL1349"/>
    <s v="Miami"/>
    <s v="London"/>
    <x v="6"/>
    <n v="30000"/>
    <n v="64.840278760910195"/>
    <n v="-79.210205844964506"/>
    <n v="2500"/>
    <n v="600"/>
    <n v="50"/>
    <x v="14"/>
    <x v="26"/>
  </r>
  <r>
    <s v="FL1350"/>
    <s v="Los Angeles"/>
    <s v="Sydney"/>
    <x v="2"/>
    <n v="30000"/>
    <n v="-33.065391287988703"/>
    <n v="-66.424726261048704"/>
    <n v="3000"/>
    <n v="356"/>
    <n v="145"/>
    <x v="4"/>
    <x v="4"/>
  </r>
  <r>
    <s v="FL1351"/>
    <s v="Los Angeles"/>
    <s v="London"/>
    <x v="2"/>
    <n v="30000"/>
    <n v="-174.45783899112899"/>
    <n v="19.079454108784599"/>
    <n v="2760"/>
    <n v="374"/>
    <n v="131"/>
    <x v="10"/>
    <x v="9"/>
  </r>
  <r>
    <s v="FL1352"/>
    <s v="New York"/>
    <s v="London"/>
    <x v="1"/>
    <n v="30000"/>
    <n v="29.853380449534701"/>
    <n v="62.900353120632403"/>
    <n v="2760"/>
    <n v="374"/>
    <n v="107"/>
    <x v="16"/>
    <x v="6"/>
  </r>
  <r>
    <s v="FL1353"/>
    <s v="Houston"/>
    <s v="London"/>
    <x v="1"/>
    <n v="32000"/>
    <n v="-88.883445895340799"/>
    <n v="-81.900572177623602"/>
    <n v="3000"/>
    <n v="374"/>
    <n v="200"/>
    <x v="8"/>
    <x v="6"/>
  </r>
  <r>
    <s v="FL1354"/>
    <s v="Los Angeles"/>
    <s v="Tokyo"/>
    <x v="1"/>
    <n v="30000"/>
    <n v="-17.908471388559501"/>
    <n v="42.147226627496302"/>
    <n v="2500"/>
    <n v="397"/>
    <n v="150"/>
    <x v="23"/>
    <x v="1"/>
  </r>
  <r>
    <s v="FL1355"/>
    <s v="Chicago"/>
    <s v="Tokyo"/>
    <x v="2"/>
    <n v="30000"/>
    <n v="164.72916543017399"/>
    <n v="-28.562643728990601"/>
    <n v="2583"/>
    <n v="397"/>
    <n v="133"/>
    <x v="2"/>
    <x v="2"/>
  </r>
  <r>
    <s v="FL1356"/>
    <s v="Houston"/>
    <s v="Dubai"/>
    <x v="3"/>
    <n v="35000"/>
    <n v="-36.347285648723499"/>
    <n v="-3.8648934144859499"/>
    <n v="3000"/>
    <n v="300"/>
    <n v="50"/>
    <x v="11"/>
    <x v="36"/>
  </r>
  <r>
    <s v="FL1357"/>
    <s v="Miami"/>
    <s v="Paris"/>
    <x v="2"/>
    <n v="30000"/>
    <n v="122.328578399194"/>
    <n v="77.194718972201798"/>
    <n v="2718"/>
    <n v="354"/>
    <n v="115"/>
    <x v="7"/>
    <x v="8"/>
  </r>
  <r>
    <s v="FL1358"/>
    <s v="New York"/>
    <s v="Sydney"/>
    <x v="1"/>
    <n v="35000"/>
    <n v="-112.12538193027"/>
    <n v="-30.2451291475478"/>
    <n v="3500"/>
    <n v="450"/>
    <n v="100"/>
    <x v="15"/>
    <x v="26"/>
  </r>
  <r>
    <s v="FL1359"/>
    <s v="Miami"/>
    <s v="Sydney"/>
    <x v="0"/>
    <n v="30000"/>
    <n v="62.085779289010397"/>
    <n v="-6.2393518908925101"/>
    <n v="2931"/>
    <n v="356"/>
    <n v="105"/>
    <x v="3"/>
    <x v="3"/>
  </r>
  <r>
    <s v="FL1360"/>
    <s v="Houston"/>
    <s v="Sydney"/>
    <x v="4"/>
    <n v="30000"/>
    <n v="171.72250359802001"/>
    <n v="-87.537165343077405"/>
    <n v="2500"/>
    <n v="600"/>
    <n v="150"/>
    <x v="12"/>
    <x v="51"/>
  </r>
  <r>
    <s v="FL1361"/>
    <s v="Houston"/>
    <s v="Dubai"/>
    <x v="2"/>
    <n v="30000"/>
    <n v="-143.31848368574299"/>
    <n v="-75.312230399129106"/>
    <n v="2500"/>
    <n v="402"/>
    <n v="111"/>
    <x v="11"/>
    <x v="19"/>
  </r>
  <r>
    <s v="FL1362"/>
    <s v="Houston"/>
    <s v="Tokyo"/>
    <x v="0"/>
    <n v="30000"/>
    <n v="-177.004820798211"/>
    <n v="-43.453513595738897"/>
    <n v="2550"/>
    <n v="397"/>
    <n v="120"/>
    <x v="0"/>
    <x v="0"/>
  </r>
  <r>
    <s v="FL1363"/>
    <s v="Miami"/>
    <s v="Dubai"/>
    <x v="1"/>
    <n v="30000"/>
    <n v="-23.910194652258799"/>
    <n v="-84.9865966522066"/>
    <n v="2700"/>
    <n v="402"/>
    <n v="128"/>
    <x v="21"/>
    <x v="34"/>
  </r>
  <r>
    <s v="FL1364"/>
    <s v="Houston"/>
    <s v="Sydney"/>
    <x v="5"/>
    <n v="32000"/>
    <n v="-146.65482610150801"/>
    <n v="23.647558688685201"/>
    <n v="2000"/>
    <n v="150"/>
    <n v="150"/>
    <x v="12"/>
    <x v="11"/>
  </r>
  <r>
    <s v="FL1365"/>
    <s v="Miami"/>
    <s v="Paris"/>
    <x v="2"/>
    <n v="30000"/>
    <n v="89.4183658834433"/>
    <n v="-13.2482957757079"/>
    <n v="2718"/>
    <n v="354"/>
    <n v="115"/>
    <x v="7"/>
    <x v="8"/>
  </r>
  <r>
    <s v="FL1366"/>
    <s v="Houston"/>
    <s v="London"/>
    <x v="4"/>
    <n v="30000"/>
    <n v="149.23751898548099"/>
    <n v="8.6661364910439698"/>
    <n v="3000"/>
    <n v="150"/>
    <n v="100"/>
    <x v="8"/>
    <x v="48"/>
  </r>
  <r>
    <s v="FL1367"/>
    <s v="Chicago"/>
    <s v="Tokyo"/>
    <x v="4"/>
    <n v="35000"/>
    <n v="-23.752449824846799"/>
    <n v="-58.563506538660697"/>
    <n v="3000"/>
    <n v="300"/>
    <n v="50"/>
    <x v="2"/>
    <x v="12"/>
  </r>
  <r>
    <s v="FL1368"/>
    <s v="Houston"/>
    <s v="Tokyo"/>
    <x v="1"/>
    <n v="32000"/>
    <n v="-86.8638088240413"/>
    <n v="-36.732234701409098"/>
    <n v="2000"/>
    <n v="300"/>
    <n v="120"/>
    <x v="0"/>
    <x v="20"/>
  </r>
  <r>
    <s v="FL1369"/>
    <s v="Miami"/>
    <s v="Dubai"/>
    <x v="5"/>
    <n v="35000"/>
    <n v="-23.614805157620498"/>
    <n v="29.488405473490499"/>
    <n v="3500"/>
    <n v="450"/>
    <n v="128"/>
    <x v="21"/>
    <x v="16"/>
  </r>
  <r>
    <s v="FL1370"/>
    <s v="Los Angeles"/>
    <s v="Tokyo"/>
    <x v="0"/>
    <n v="30000"/>
    <n v="80.4412144260004"/>
    <n v="83.754490253471999"/>
    <n v="2586"/>
    <n v="397"/>
    <n v="119"/>
    <x v="23"/>
    <x v="0"/>
  </r>
  <r>
    <s v="FL1371"/>
    <s v="Houston"/>
    <s v="Sydney"/>
    <x v="1"/>
    <n v="30000"/>
    <n v="-176.74050183106601"/>
    <n v="-80.924980751602305"/>
    <n v="2500"/>
    <n v="356"/>
    <n v="127"/>
    <x v="12"/>
    <x v="14"/>
  </r>
  <r>
    <s v="FL1372"/>
    <s v="Los Angeles"/>
    <s v="Sydney"/>
    <x v="6"/>
    <n v="35000"/>
    <n v="32.203436214490999"/>
    <n v="70.269177753947901"/>
    <n v="3000"/>
    <n v="450"/>
    <n v="50"/>
    <x v="4"/>
    <x v="28"/>
  </r>
  <r>
    <s v="FL1373"/>
    <s v="Chicago"/>
    <s v="Dubai"/>
    <x v="0"/>
    <n v="30000"/>
    <n v="40.785006559456498"/>
    <n v="13.838616236017501"/>
    <n v="2500"/>
    <n v="402"/>
    <n v="50"/>
    <x v="9"/>
    <x v="42"/>
  </r>
  <r>
    <s v="FL1374"/>
    <s v="New York"/>
    <s v="Sydney"/>
    <x v="5"/>
    <n v="35000"/>
    <n v="49.567768882536797"/>
    <n v="11.5055220160123"/>
    <n v="2500"/>
    <n v="600"/>
    <n v="120"/>
    <x v="15"/>
    <x v="33"/>
  </r>
  <r>
    <s v="FL1375"/>
    <s v="Chicago"/>
    <s v="Paris"/>
    <x v="5"/>
    <n v="30000"/>
    <n v="-92.872051206884194"/>
    <n v="5.0136337396864399E-2"/>
    <n v="2928"/>
    <n v="450"/>
    <n v="100"/>
    <x v="5"/>
    <x v="16"/>
  </r>
  <r>
    <s v="FL1376"/>
    <s v="Houston"/>
    <s v="Dubai"/>
    <x v="5"/>
    <n v="32000"/>
    <n v="77.058980416125607"/>
    <n v="-77.509064537246999"/>
    <n v="2000"/>
    <n v="150"/>
    <n v="150"/>
    <x v="11"/>
    <x v="11"/>
  </r>
  <r>
    <s v="FL1377"/>
    <s v="Los Angeles"/>
    <s v="Paris"/>
    <x v="2"/>
    <n v="30000"/>
    <n v="-147.09906492056001"/>
    <n v="-73.822166687491105"/>
    <n v="2882"/>
    <n v="354"/>
    <n v="125"/>
    <x v="18"/>
    <x v="8"/>
  </r>
  <r>
    <s v="FL1378"/>
    <s v="Los Angeles"/>
    <s v="London"/>
    <x v="2"/>
    <n v="30000"/>
    <n v="-108.26267887195201"/>
    <n v="18.1641610186355"/>
    <n v="2500"/>
    <n v="374"/>
    <n v="150"/>
    <x v="10"/>
    <x v="9"/>
  </r>
  <r>
    <s v="FL1379"/>
    <s v="Miami"/>
    <s v="Paris"/>
    <x v="4"/>
    <n v="32000"/>
    <n v="135.88921679561301"/>
    <n v="-28.6274571415995"/>
    <n v="2718"/>
    <n v="150"/>
    <n v="100"/>
    <x v="7"/>
    <x v="48"/>
  </r>
  <r>
    <s v="FL1380"/>
    <s v="Los Angeles"/>
    <s v="London"/>
    <x v="2"/>
    <n v="30000"/>
    <n v="85.940334261563905"/>
    <n v="75.108251983982498"/>
    <n v="2760"/>
    <n v="374"/>
    <n v="131"/>
    <x v="10"/>
    <x v="9"/>
  </r>
  <r>
    <s v="FL1381"/>
    <s v="Miami"/>
    <s v="London"/>
    <x v="2"/>
    <n v="30000"/>
    <n v="-175.051600555916"/>
    <n v="-16.813703275295001"/>
    <n v="2615"/>
    <n v="374"/>
    <n v="121"/>
    <x v="14"/>
    <x v="9"/>
  </r>
  <r>
    <s v="FL1382"/>
    <s v="New York"/>
    <s v="Paris"/>
    <x v="1"/>
    <n v="30000"/>
    <n v="-90.584546266871897"/>
    <n v="-64.209337433524595"/>
    <n v="2847"/>
    <n v="354"/>
    <n v="122"/>
    <x v="13"/>
    <x v="22"/>
  </r>
  <r>
    <s v="FL1383"/>
    <s v="Houston"/>
    <s v="Dubai"/>
    <x v="6"/>
    <n v="30000"/>
    <n v="-102.813666122461"/>
    <n v="38.649390030366497"/>
    <n v="2000"/>
    <n v="300"/>
    <n v="100"/>
    <x v="11"/>
    <x v="37"/>
  </r>
  <r>
    <s v="FL1384"/>
    <s v="Miami"/>
    <s v="Sydney"/>
    <x v="1"/>
    <n v="30000"/>
    <n v="-82.509721906689904"/>
    <n v="-37.1963841406182"/>
    <n v="2500"/>
    <n v="356"/>
    <n v="200"/>
    <x v="3"/>
    <x v="14"/>
  </r>
  <r>
    <s v="FL1385"/>
    <s v="New York"/>
    <s v="Sydney"/>
    <x v="4"/>
    <n v="35000"/>
    <n v="-90.878482699240905"/>
    <n v="4.5846553240607797"/>
    <n v="2500"/>
    <n v="356"/>
    <n v="150"/>
    <x v="15"/>
    <x v="43"/>
  </r>
  <r>
    <s v="FL1386"/>
    <s v="Los Angeles"/>
    <s v="London"/>
    <x v="2"/>
    <n v="35000"/>
    <n v="-157.49053353257599"/>
    <n v="35.609901390930602"/>
    <n v="2760"/>
    <n v="300"/>
    <n v="200"/>
    <x v="10"/>
    <x v="28"/>
  </r>
  <r>
    <s v="FL1387"/>
    <s v="Los Angeles"/>
    <s v="London"/>
    <x v="3"/>
    <n v="32000"/>
    <n v="-14.7814140251447"/>
    <n v="72.047540016372693"/>
    <n v="3000"/>
    <n v="300"/>
    <n v="100"/>
    <x v="10"/>
    <x v="36"/>
  </r>
  <r>
    <s v="FL1388"/>
    <s v="New York"/>
    <s v="Dubai"/>
    <x v="7"/>
    <n v="30000"/>
    <n v="83.784050923019393"/>
    <n v="52.5944150643017"/>
    <n v="2588"/>
    <n v="402"/>
    <n v="134"/>
    <x v="20"/>
    <x v="23"/>
  </r>
  <r>
    <s v="FL1389"/>
    <s v="Los Angeles"/>
    <s v="Tokyo"/>
    <x v="6"/>
    <n v="32000"/>
    <n v="38.423420898277101"/>
    <n v="31.744992217090299"/>
    <n v="2000"/>
    <n v="300"/>
    <n v="150"/>
    <x v="23"/>
    <x v="37"/>
  </r>
  <r>
    <s v="FL1390"/>
    <s v="New York"/>
    <s v="Paris"/>
    <x v="4"/>
    <n v="30000"/>
    <n v="62.233800695308702"/>
    <n v="32.333972831125799"/>
    <n v="3500"/>
    <n v="450"/>
    <n v="200"/>
    <x v="13"/>
    <x v="30"/>
  </r>
  <r>
    <s v="FL1391"/>
    <s v="Miami"/>
    <s v="London"/>
    <x v="1"/>
    <n v="30000"/>
    <n v="-150.78629572695399"/>
    <n v="80.266435925775596"/>
    <n v="2000"/>
    <n v="150"/>
    <n v="200"/>
    <x v="14"/>
    <x v="10"/>
  </r>
  <r>
    <s v="FL1392"/>
    <s v="Miami"/>
    <s v="Sydney"/>
    <x v="4"/>
    <n v="30000"/>
    <n v="162.53665566364299"/>
    <n v="-36.751662450623499"/>
    <n v="2500"/>
    <n v="300"/>
    <n v="50"/>
    <x v="3"/>
    <x v="12"/>
  </r>
  <r>
    <s v="FL1393"/>
    <s v="New York"/>
    <s v="Dubai"/>
    <x v="5"/>
    <n v="30000"/>
    <n v="121.857060183489"/>
    <n v="-89.799823044686306"/>
    <n v="2500"/>
    <n v="402"/>
    <n v="134"/>
    <x v="20"/>
    <x v="40"/>
  </r>
  <r>
    <s v="FL1394"/>
    <s v="Miami"/>
    <s v="Paris"/>
    <x v="2"/>
    <n v="30000"/>
    <n v="109.832514658439"/>
    <n v="-41.048179308324201"/>
    <n v="2718"/>
    <n v="354"/>
    <n v="115"/>
    <x v="7"/>
    <x v="8"/>
  </r>
  <r>
    <s v="FL1395"/>
    <s v="Miami"/>
    <s v="Dubai"/>
    <x v="5"/>
    <n v="35000"/>
    <n v="116.274169815036"/>
    <n v="-50.779551667186098"/>
    <n v="3500"/>
    <n v="402"/>
    <n v="50"/>
    <x v="21"/>
    <x v="40"/>
  </r>
  <r>
    <s v="FL1396"/>
    <s v="Miami"/>
    <s v="Paris"/>
    <x v="5"/>
    <n v="35000"/>
    <n v="155.77578292779401"/>
    <n v="29.130225320519699"/>
    <n v="2718"/>
    <n v="450"/>
    <n v="100"/>
    <x v="7"/>
    <x v="16"/>
  </r>
  <r>
    <s v="FL1397"/>
    <s v="Chicago"/>
    <s v="Paris"/>
    <x v="1"/>
    <n v="32000"/>
    <n v="15.9314278009312"/>
    <n v="24.0680879577952"/>
    <n v="3500"/>
    <n v="300"/>
    <n v="50"/>
    <x v="5"/>
    <x v="20"/>
  </r>
  <r>
    <s v="FL1398"/>
    <s v="Houston"/>
    <s v="London"/>
    <x v="2"/>
    <n v="30000"/>
    <n v="-107.898473567655"/>
    <n v="16.823048886850302"/>
    <n v="2846"/>
    <n v="374"/>
    <n v="138"/>
    <x v="8"/>
    <x v="9"/>
  </r>
  <r>
    <s v="FL1399"/>
    <s v="Los Angeles"/>
    <s v="Dubai"/>
    <x v="6"/>
    <n v="30000"/>
    <n v="42.042098826914803"/>
    <n v="-87.076180222298305"/>
    <n v="2794"/>
    <n v="402"/>
    <n v="50"/>
    <x v="22"/>
    <x v="27"/>
  </r>
  <r>
    <s v="FL1400"/>
    <s v="Chicago"/>
    <s v="Dubai"/>
    <x v="4"/>
    <n v="30000"/>
    <n v="87.437337720458103"/>
    <n v="41.180049801116603"/>
    <n v="3500"/>
    <n v="450"/>
    <n v="100"/>
    <x v="9"/>
    <x v="30"/>
  </r>
  <r>
    <s v="FL1401"/>
    <s v="Miami"/>
    <s v="Sydney"/>
    <x v="5"/>
    <n v="30000"/>
    <n v="85.650261607449096"/>
    <n v="-31.764525752611501"/>
    <n v="3500"/>
    <n v="600"/>
    <n v="200"/>
    <x v="3"/>
    <x v="33"/>
  </r>
  <r>
    <s v="FL1402"/>
    <s v="New York"/>
    <s v="Sydney"/>
    <x v="4"/>
    <n v="30000"/>
    <n v="7.7216487000768304"/>
    <n v="29.710078021193599"/>
    <n v="2800"/>
    <n v="300"/>
    <n v="100"/>
    <x v="15"/>
    <x v="12"/>
  </r>
  <r>
    <s v="FL1403"/>
    <s v="Miami"/>
    <s v="London"/>
    <x v="2"/>
    <n v="32000"/>
    <n v="-155.35486103991201"/>
    <n v="10.1841171303876"/>
    <n v="2500"/>
    <n v="150"/>
    <n v="150"/>
    <x v="14"/>
    <x v="31"/>
  </r>
  <r>
    <s v="FL1404"/>
    <s v="Houston"/>
    <s v="London"/>
    <x v="2"/>
    <n v="30000"/>
    <n v="-46.399342165154003"/>
    <n v="-28.308433422976702"/>
    <n v="2846"/>
    <n v="374"/>
    <n v="138"/>
    <x v="8"/>
    <x v="9"/>
  </r>
  <r>
    <s v="FL1405"/>
    <s v="Miami"/>
    <s v="Tokyo"/>
    <x v="1"/>
    <n v="30000"/>
    <n v="151.47597904680899"/>
    <n v="-65.776271921260602"/>
    <n v="2729"/>
    <n v="397"/>
    <n v="126"/>
    <x v="1"/>
    <x v="1"/>
  </r>
  <r>
    <s v="FL1406"/>
    <s v="New York"/>
    <s v="Sydney"/>
    <x v="6"/>
    <n v="30000"/>
    <n v="30.401607512673401"/>
    <n v="-73.0045984211134"/>
    <n v="2500"/>
    <n v="150"/>
    <n v="150"/>
    <x v="15"/>
    <x v="32"/>
  </r>
  <r>
    <s v="FL1407"/>
    <s v="Houston"/>
    <s v="Paris"/>
    <x v="3"/>
    <n v="30000"/>
    <n v="13.7994995720569"/>
    <n v="59.673299960200197"/>
    <n v="2647"/>
    <n v="600"/>
    <n v="113"/>
    <x v="19"/>
    <x v="50"/>
  </r>
  <r>
    <s v="FL1408"/>
    <s v="Miami"/>
    <s v="Dubai"/>
    <x v="1"/>
    <n v="30000"/>
    <n v="-83.212734822410297"/>
    <n v="75.311557574680506"/>
    <n v="2700"/>
    <n v="402"/>
    <n v="128"/>
    <x v="21"/>
    <x v="34"/>
  </r>
  <r>
    <s v="FL1409"/>
    <s v="Houston"/>
    <s v="London"/>
    <x v="1"/>
    <n v="30000"/>
    <n v="-47.3583888300316"/>
    <n v="26.961848417573901"/>
    <n v="3500"/>
    <n v="450"/>
    <n v="200"/>
    <x v="8"/>
    <x v="26"/>
  </r>
  <r>
    <s v="FL1410"/>
    <s v="Los Angeles"/>
    <s v="Dubai"/>
    <x v="7"/>
    <n v="32000"/>
    <n v="142.32459209514101"/>
    <n v="-71.381859325112998"/>
    <n v="2500"/>
    <n v="300"/>
    <n v="100"/>
    <x v="22"/>
    <x v="49"/>
  </r>
  <r>
    <s v="FL1411"/>
    <s v="Los Angeles"/>
    <s v="Dubai"/>
    <x v="7"/>
    <n v="30000"/>
    <n v="59.9266971096609"/>
    <n v="-17.635100960116699"/>
    <n v="2794"/>
    <n v="402"/>
    <n v="113"/>
    <x v="22"/>
    <x v="23"/>
  </r>
  <r>
    <s v="FL1412"/>
    <s v="Miami"/>
    <s v="Tokyo"/>
    <x v="3"/>
    <n v="32000"/>
    <n v="103.45932963084"/>
    <n v="41.209056018928301"/>
    <n v="2000"/>
    <n v="300"/>
    <n v="100"/>
    <x v="1"/>
    <x v="36"/>
  </r>
  <r>
    <s v="FL1413"/>
    <s v="Houston"/>
    <s v="Sydney"/>
    <x v="1"/>
    <n v="30000"/>
    <n v="-16.435647695644199"/>
    <n v="50.367759121812298"/>
    <n v="2000"/>
    <n v="356"/>
    <n v="100"/>
    <x v="12"/>
    <x v="14"/>
  </r>
  <r>
    <s v="FL1414"/>
    <s v="New York"/>
    <s v="London"/>
    <x v="4"/>
    <n v="35000"/>
    <n v="46.888999004216899"/>
    <n v="-68.720647987604096"/>
    <n v="2500"/>
    <n v="600"/>
    <n v="100"/>
    <x v="16"/>
    <x v="51"/>
  </r>
  <r>
    <s v="FL1415"/>
    <s v="Miami"/>
    <s v="Dubai"/>
    <x v="1"/>
    <n v="35000"/>
    <n v="-90.581900852445301"/>
    <n v="-89.994470607831204"/>
    <n v="2700"/>
    <n v="600"/>
    <n v="100"/>
    <x v="21"/>
    <x v="13"/>
  </r>
  <r>
    <s v="FL1416"/>
    <s v="Los Angeles"/>
    <s v="London"/>
    <x v="5"/>
    <n v="35000"/>
    <n v="73.965898902055002"/>
    <n v="38.1846682585089"/>
    <n v="3500"/>
    <n v="600"/>
    <n v="200"/>
    <x v="10"/>
    <x v="33"/>
  </r>
  <r>
    <s v="FL1417"/>
    <s v="Los Angeles"/>
    <s v="Paris"/>
    <x v="6"/>
    <n v="35000"/>
    <n v="-26.0635198667986"/>
    <n v="-25.812688322483002"/>
    <n v="3500"/>
    <n v="354"/>
    <n v="50"/>
    <x v="18"/>
    <x v="39"/>
  </r>
  <r>
    <s v="FL1418"/>
    <s v="Miami"/>
    <s v="Tokyo"/>
    <x v="5"/>
    <n v="32000"/>
    <n v="-20.6836146666916"/>
    <n v="-44.193360308713203"/>
    <n v="2500"/>
    <n v="450"/>
    <n v="100"/>
    <x v="1"/>
    <x v="16"/>
  </r>
  <r>
    <s v="FL1419"/>
    <s v="Houston"/>
    <s v="Paris"/>
    <x v="4"/>
    <n v="32000"/>
    <n v="53.7560368476774"/>
    <n v="-87.678455437885404"/>
    <n v="2500"/>
    <n v="300"/>
    <n v="200"/>
    <x v="19"/>
    <x v="12"/>
  </r>
  <r>
    <s v="FL1420"/>
    <s v="Los Angeles"/>
    <s v="London"/>
    <x v="2"/>
    <n v="30000"/>
    <n v="157.06102372881401"/>
    <n v="7.2538932170699404"/>
    <n v="2760"/>
    <n v="374"/>
    <n v="131"/>
    <x v="10"/>
    <x v="9"/>
  </r>
  <r>
    <s v="FL1421"/>
    <s v="Houston"/>
    <s v="London"/>
    <x v="3"/>
    <n v="30000"/>
    <n v="-156.95771522089601"/>
    <n v="63.207132376676697"/>
    <n v="3000"/>
    <n v="374"/>
    <n v="150"/>
    <x v="8"/>
    <x v="55"/>
  </r>
  <r>
    <s v="FL1422"/>
    <s v="Los Angeles"/>
    <s v="Sydney"/>
    <x v="2"/>
    <n v="30000"/>
    <n v="116.90756544492299"/>
    <n v="82.373696329065794"/>
    <n v="3000"/>
    <n v="356"/>
    <n v="145"/>
    <x v="4"/>
    <x v="4"/>
  </r>
  <r>
    <s v="FL1423"/>
    <s v="Los Angeles"/>
    <s v="Dubai"/>
    <x v="7"/>
    <n v="30000"/>
    <n v="-74.742080251610503"/>
    <n v="11.8340911103921"/>
    <n v="2794"/>
    <n v="402"/>
    <n v="113"/>
    <x v="22"/>
    <x v="23"/>
  </r>
  <r>
    <s v="FL1424"/>
    <s v="Chicago"/>
    <s v="Dubai"/>
    <x v="0"/>
    <n v="30000"/>
    <n v="-20.188996377704001"/>
    <n v="2.6030389931809399"/>
    <n v="2636"/>
    <n v="402"/>
    <n v="114"/>
    <x v="9"/>
    <x v="42"/>
  </r>
  <r>
    <s v="FL1425"/>
    <s v="Los Angeles"/>
    <s v="Paris"/>
    <x v="2"/>
    <n v="30000"/>
    <n v="-172.111201640997"/>
    <n v="-74.689850611936606"/>
    <n v="2882"/>
    <n v="354"/>
    <n v="125"/>
    <x v="18"/>
    <x v="8"/>
  </r>
  <r>
    <s v="FL1426"/>
    <s v="New York"/>
    <s v="Tokyo"/>
    <x v="1"/>
    <n v="32000"/>
    <n v="-71.623411979647301"/>
    <n v="8.7971042776679607"/>
    <n v="2954"/>
    <n v="450"/>
    <n v="50"/>
    <x v="24"/>
    <x v="26"/>
  </r>
  <r>
    <s v="FL1427"/>
    <s v="Miami"/>
    <s v="Dubai"/>
    <x v="6"/>
    <n v="35000"/>
    <n v="0.94724734684697898"/>
    <n v="-21.603765786229001"/>
    <n v="2000"/>
    <n v="600"/>
    <n v="100"/>
    <x v="21"/>
    <x v="26"/>
  </r>
  <r>
    <s v="FL1428"/>
    <s v="Miami"/>
    <s v="Sydney"/>
    <x v="0"/>
    <n v="30000"/>
    <n v="-159.77661215492199"/>
    <n v="19.284350559043801"/>
    <n v="2931"/>
    <n v="356"/>
    <n v="105"/>
    <x v="3"/>
    <x v="3"/>
  </r>
  <r>
    <s v="FL1429"/>
    <s v="Houston"/>
    <s v="Paris"/>
    <x v="1"/>
    <n v="30000"/>
    <n v="-3.2055374220605599"/>
    <n v="-20.029257382221601"/>
    <n v="2647"/>
    <n v="354"/>
    <n v="113"/>
    <x v="19"/>
    <x v="22"/>
  </r>
  <r>
    <s v="FL1430"/>
    <s v="Los Angeles"/>
    <s v="Paris"/>
    <x v="2"/>
    <n v="30000"/>
    <n v="153.759826389034"/>
    <n v="-46.746157778933998"/>
    <n v="2882"/>
    <n v="354"/>
    <n v="125"/>
    <x v="18"/>
    <x v="8"/>
  </r>
  <r>
    <s v="FL1431"/>
    <s v="New York"/>
    <s v="Sydney"/>
    <x v="1"/>
    <n v="35000"/>
    <n v="-142.05844148118999"/>
    <n v="-72.906250458892202"/>
    <n v="3500"/>
    <n v="450"/>
    <n v="120"/>
    <x v="15"/>
    <x v="26"/>
  </r>
  <r>
    <s v="FL1432"/>
    <s v="Houston"/>
    <s v="Tokyo"/>
    <x v="0"/>
    <n v="30000"/>
    <n v="95.198662107181605"/>
    <n v="-33.3146799739988"/>
    <n v="2550"/>
    <n v="397"/>
    <n v="120"/>
    <x v="0"/>
    <x v="0"/>
  </r>
  <r>
    <s v="FL1433"/>
    <s v="Chicago"/>
    <s v="Sydney"/>
    <x v="1"/>
    <n v="30000"/>
    <n v="-32.518420784642601"/>
    <n v="-72.603929828204599"/>
    <n v="3500"/>
    <n v="450"/>
    <n v="137"/>
    <x v="17"/>
    <x v="26"/>
  </r>
  <r>
    <s v="FL1434"/>
    <s v="Houston"/>
    <s v="Tokyo"/>
    <x v="6"/>
    <n v="35000"/>
    <n v="55.862537228761703"/>
    <n v="-58.158548851682902"/>
    <n v="3500"/>
    <n v="300"/>
    <n v="120"/>
    <x v="0"/>
    <x v="37"/>
  </r>
  <r>
    <s v="FL1435"/>
    <s v="Houston"/>
    <s v="Sydney"/>
    <x v="3"/>
    <n v="30000"/>
    <n v="-86.314824725317393"/>
    <n v="87.720508544318307"/>
    <n v="2500"/>
    <n v="450"/>
    <n v="200"/>
    <x v="12"/>
    <x v="11"/>
  </r>
  <r>
    <s v="FL1436"/>
    <s v="Los Angeles"/>
    <s v="Sydney"/>
    <x v="2"/>
    <n v="30000"/>
    <n v="-122.582785485111"/>
    <n v="-10.061359756808599"/>
    <n v="3000"/>
    <n v="356"/>
    <n v="145"/>
    <x v="4"/>
    <x v="4"/>
  </r>
  <r>
    <s v="FL1437"/>
    <s v="Chicago"/>
    <s v="London"/>
    <x v="4"/>
    <n v="35000"/>
    <n v="-122.233458862359"/>
    <n v="5.7369179709029803"/>
    <n v="2500"/>
    <n v="300"/>
    <n v="200"/>
    <x v="6"/>
    <x v="12"/>
  </r>
  <r>
    <s v="FL1438"/>
    <s v="Houston"/>
    <s v="Paris"/>
    <x v="4"/>
    <n v="30000"/>
    <n v="-154.622899568468"/>
    <n v="67.251335172698802"/>
    <n v="2000"/>
    <n v="300"/>
    <n v="100"/>
    <x v="19"/>
    <x v="12"/>
  </r>
  <r>
    <s v="FL1439"/>
    <s v="New York"/>
    <s v="Sydney"/>
    <x v="1"/>
    <n v="30000"/>
    <n v="-113.167186235553"/>
    <n v="89.202402088323794"/>
    <n v="2800"/>
    <n v="356"/>
    <n v="120"/>
    <x v="15"/>
    <x v="14"/>
  </r>
  <r>
    <s v="FL1440"/>
    <s v="New York"/>
    <s v="Sydney"/>
    <x v="1"/>
    <n v="30000"/>
    <n v="59.118978596028597"/>
    <n v="14.8886008820427"/>
    <n v="2800"/>
    <n v="356"/>
    <n v="120"/>
    <x v="15"/>
    <x v="14"/>
  </r>
  <r>
    <s v="FL1441"/>
    <s v="Miami"/>
    <s v="Dubai"/>
    <x v="6"/>
    <n v="30000"/>
    <n v="137.40862026366301"/>
    <n v="56.2452877879509"/>
    <n v="2500"/>
    <n v="150"/>
    <n v="200"/>
    <x v="21"/>
    <x v="32"/>
  </r>
  <r>
    <s v="FL1442"/>
    <s v="Chicago"/>
    <s v="Paris"/>
    <x v="0"/>
    <n v="30000"/>
    <n v="113.085246812818"/>
    <n v="-31.150615619398501"/>
    <n v="2928"/>
    <n v="354"/>
    <n v="121"/>
    <x v="5"/>
    <x v="5"/>
  </r>
  <r>
    <s v="FL1443"/>
    <s v="Chicago"/>
    <s v="Dubai"/>
    <x v="4"/>
    <n v="32000"/>
    <n v="66.648351554814298"/>
    <n v="-34.966087659487599"/>
    <n v="2000"/>
    <n v="450"/>
    <n v="150"/>
    <x v="9"/>
    <x v="30"/>
  </r>
  <r>
    <s v="FL1444"/>
    <s v="Miami"/>
    <s v="Paris"/>
    <x v="1"/>
    <n v="35000"/>
    <n v="-140.24452917200301"/>
    <n v="-17.513330220979199"/>
    <n v="3000"/>
    <n v="354"/>
    <n v="200"/>
    <x v="7"/>
    <x v="22"/>
  </r>
  <r>
    <s v="FL1445"/>
    <s v="Houston"/>
    <s v="Dubai"/>
    <x v="2"/>
    <n v="30000"/>
    <n v="-75.892519333458097"/>
    <n v="31.051307281256801"/>
    <n v="2500"/>
    <n v="402"/>
    <n v="111"/>
    <x v="11"/>
    <x v="19"/>
  </r>
  <r>
    <s v="FL1446"/>
    <s v="Chicago"/>
    <s v="Sydney"/>
    <x v="3"/>
    <n v="35000"/>
    <n v="-68.469524883911205"/>
    <n v="32.794504065917799"/>
    <n v="2000"/>
    <n v="150"/>
    <n v="137"/>
    <x v="17"/>
    <x v="15"/>
  </r>
  <r>
    <s v="FL1447"/>
    <s v="New York"/>
    <s v="Sydney"/>
    <x v="1"/>
    <n v="30000"/>
    <n v="-90.015499296856404"/>
    <n v="-33.256901763098902"/>
    <n v="3500"/>
    <n v="300"/>
    <n v="100"/>
    <x v="15"/>
    <x v="20"/>
  </r>
  <r>
    <s v="FL1448"/>
    <s v="New York"/>
    <s v="London"/>
    <x v="1"/>
    <n v="30000"/>
    <n v="5.4020374955003101"/>
    <n v="-66.022213655406802"/>
    <n v="2760"/>
    <n v="374"/>
    <n v="107"/>
    <x v="16"/>
    <x v="6"/>
  </r>
  <r>
    <s v="FL1449"/>
    <s v="Los Angeles"/>
    <s v="Dubai"/>
    <x v="7"/>
    <n v="30000"/>
    <n v="12.7993733566821"/>
    <n v="23.831326163791498"/>
    <n v="2794"/>
    <n v="402"/>
    <n v="113"/>
    <x v="22"/>
    <x v="23"/>
  </r>
  <r>
    <s v="FL1450"/>
    <s v="Chicago"/>
    <s v="Tokyo"/>
    <x v="2"/>
    <n v="30000"/>
    <n v="-51.521048938400298"/>
    <n v="-66.901344806022394"/>
    <n v="2583"/>
    <n v="397"/>
    <n v="133"/>
    <x v="2"/>
    <x v="2"/>
  </r>
  <r>
    <s v="FL1451"/>
    <s v="Houston"/>
    <s v="London"/>
    <x v="2"/>
    <n v="30000"/>
    <n v="-52.635902854883"/>
    <n v="14.1286514812794"/>
    <n v="2846"/>
    <n v="374"/>
    <n v="138"/>
    <x v="8"/>
    <x v="9"/>
  </r>
  <r>
    <s v="FL1452"/>
    <s v="Miami"/>
    <s v="Dubai"/>
    <x v="1"/>
    <n v="30000"/>
    <n v="118.280015246189"/>
    <n v="34.8159830501356"/>
    <n v="2500"/>
    <n v="402"/>
    <n v="150"/>
    <x v="21"/>
    <x v="34"/>
  </r>
  <r>
    <s v="FL1453"/>
    <s v="Miami"/>
    <s v="Dubai"/>
    <x v="1"/>
    <n v="30000"/>
    <n v="104.145425395087"/>
    <n v="36.1100693510013"/>
    <n v="2700"/>
    <n v="402"/>
    <n v="128"/>
    <x v="21"/>
    <x v="34"/>
  </r>
  <r>
    <s v="FL1454"/>
    <s v="Houston"/>
    <s v="London"/>
    <x v="1"/>
    <n v="30000"/>
    <n v="-69.193500594931606"/>
    <n v="45.624979918727398"/>
    <n v="2846"/>
    <n v="150"/>
    <n v="150"/>
    <x v="8"/>
    <x v="10"/>
  </r>
  <r>
    <s v="FL1455"/>
    <s v="Los Angeles"/>
    <s v="Sydney"/>
    <x v="3"/>
    <n v="30000"/>
    <n v="148.963839794373"/>
    <n v="67.1146958818196"/>
    <n v="2500"/>
    <n v="300"/>
    <n v="145"/>
    <x v="4"/>
    <x v="36"/>
  </r>
  <r>
    <s v="FL1456"/>
    <s v="Miami"/>
    <s v="Dubai"/>
    <x v="1"/>
    <n v="32000"/>
    <n v="163.013406120902"/>
    <n v="-7.38144633808702E-3"/>
    <n v="3500"/>
    <n v="402"/>
    <n v="128"/>
    <x v="21"/>
    <x v="34"/>
  </r>
  <r>
    <s v="FL1457"/>
    <s v="Chicago"/>
    <s v="Sydney"/>
    <x v="6"/>
    <n v="35000"/>
    <n v="-62.372684869185299"/>
    <n v="41.444854115322798"/>
    <n v="3000"/>
    <n v="356"/>
    <n v="50"/>
    <x v="17"/>
    <x v="44"/>
  </r>
  <r>
    <s v="FL1458"/>
    <s v="Los Angeles"/>
    <s v="London"/>
    <x v="5"/>
    <n v="30000"/>
    <n v="-52.407018434500202"/>
    <n v="21.451092365850599"/>
    <n v="3000"/>
    <n v="600"/>
    <n v="100"/>
    <x v="10"/>
    <x v="33"/>
  </r>
  <r>
    <s v="FL1459"/>
    <s v="Chicago"/>
    <s v="Sydney"/>
    <x v="3"/>
    <n v="35000"/>
    <n v="2.0282952319051901"/>
    <n v="-56.404810836417099"/>
    <n v="2500"/>
    <n v="150"/>
    <n v="100"/>
    <x v="17"/>
    <x v="15"/>
  </r>
  <r>
    <s v="FL1460"/>
    <s v="New York"/>
    <s v="Paris"/>
    <x v="4"/>
    <n v="30000"/>
    <n v="158.80349251212201"/>
    <n v="-85.3758639235065"/>
    <n v="2847"/>
    <n v="450"/>
    <n v="200"/>
    <x v="13"/>
    <x v="30"/>
  </r>
  <r>
    <s v="FL1461"/>
    <s v="Los Angeles"/>
    <s v="Tokyo"/>
    <x v="4"/>
    <n v="30000"/>
    <n v="135.474995931232"/>
    <n v="-38.782550578151898"/>
    <n v="2500"/>
    <n v="150"/>
    <n v="119"/>
    <x v="23"/>
    <x v="48"/>
  </r>
  <r>
    <s v="FL1462"/>
    <s v="Miami"/>
    <s v="Dubai"/>
    <x v="1"/>
    <n v="30000"/>
    <n v="-143.07553346990801"/>
    <n v="-10.253932859228501"/>
    <n v="2700"/>
    <n v="402"/>
    <n v="128"/>
    <x v="21"/>
    <x v="34"/>
  </r>
  <r>
    <s v="FL1463"/>
    <s v="Los Angeles"/>
    <s v="Tokyo"/>
    <x v="6"/>
    <n v="30000"/>
    <n v="-38.616932422290198"/>
    <n v="21.079069997158101"/>
    <n v="3500"/>
    <n v="300"/>
    <n v="150"/>
    <x v="23"/>
    <x v="37"/>
  </r>
  <r>
    <s v="FL1464"/>
    <s v="Los Angeles"/>
    <s v="Sydney"/>
    <x v="2"/>
    <n v="30000"/>
    <n v="19.213628309917901"/>
    <n v="62.992679490576997"/>
    <n v="3000"/>
    <n v="356"/>
    <n v="145"/>
    <x v="4"/>
    <x v="4"/>
  </r>
  <r>
    <s v="FL1465"/>
    <s v="Los Angeles"/>
    <s v="Dubai"/>
    <x v="7"/>
    <n v="30000"/>
    <n v="1.1276901185544299"/>
    <n v="-54.6757709928902"/>
    <n v="2794"/>
    <n v="402"/>
    <n v="113"/>
    <x v="22"/>
    <x v="23"/>
  </r>
  <r>
    <s v="FL1466"/>
    <s v="Los Angeles"/>
    <s v="Sydney"/>
    <x v="5"/>
    <n v="30000"/>
    <n v="-110.209295542719"/>
    <n v="-67.401037818274105"/>
    <n v="3500"/>
    <n v="300"/>
    <n v="150"/>
    <x v="4"/>
    <x v="24"/>
  </r>
  <r>
    <s v="FL1467"/>
    <s v="Chicago"/>
    <s v="Paris"/>
    <x v="6"/>
    <n v="32000"/>
    <n v="129.17403762053601"/>
    <n v="83.426390545378993"/>
    <n v="2000"/>
    <n v="354"/>
    <n v="100"/>
    <x v="5"/>
    <x v="39"/>
  </r>
  <r>
    <s v="FL1468"/>
    <s v="New York"/>
    <s v="London"/>
    <x v="1"/>
    <n v="30000"/>
    <n v="63.6986818788614"/>
    <n v="-70.551979312246701"/>
    <n v="2760"/>
    <n v="374"/>
    <n v="107"/>
    <x v="16"/>
    <x v="6"/>
  </r>
  <r>
    <s v="FL1469"/>
    <s v="Houston"/>
    <s v="Dubai"/>
    <x v="4"/>
    <n v="35000"/>
    <n v="121.64701494664899"/>
    <n v="-3.8716073807059499"/>
    <n v="2500"/>
    <n v="300"/>
    <n v="100"/>
    <x v="11"/>
    <x v="12"/>
  </r>
  <r>
    <s v="FL1470"/>
    <s v="Los Angeles"/>
    <s v="Paris"/>
    <x v="4"/>
    <n v="30000"/>
    <n v="129.15514056581"/>
    <n v="15.4014711827943"/>
    <n v="2500"/>
    <n v="150"/>
    <n v="100"/>
    <x v="18"/>
    <x v="48"/>
  </r>
  <r>
    <s v="FL1471"/>
    <s v="Miami"/>
    <s v="Paris"/>
    <x v="1"/>
    <n v="35000"/>
    <n v="89.4081073196663"/>
    <n v="7.4473957633388901"/>
    <n v="2500"/>
    <n v="150"/>
    <n v="100"/>
    <x v="7"/>
    <x v="10"/>
  </r>
  <r>
    <s v="FL1472"/>
    <s v="Los Angeles"/>
    <s v="Dubai"/>
    <x v="5"/>
    <n v="30000"/>
    <n v="-21.884183550101799"/>
    <n v="-74.514211734070201"/>
    <n v="3500"/>
    <n v="300"/>
    <n v="150"/>
    <x v="22"/>
    <x v="24"/>
  </r>
  <r>
    <s v="FL1473"/>
    <s v="Miami"/>
    <s v="Sydney"/>
    <x v="4"/>
    <n v="32000"/>
    <n v="39.796831805552799"/>
    <n v="-79.735155479348506"/>
    <n v="2000"/>
    <n v="150"/>
    <n v="50"/>
    <x v="3"/>
    <x v="48"/>
  </r>
  <r>
    <s v="FL1474"/>
    <s v="Chicago"/>
    <s v="Paris"/>
    <x v="3"/>
    <n v="35000"/>
    <n v="-122.268453796893"/>
    <n v="-71.012983057013599"/>
    <n v="2928"/>
    <n v="300"/>
    <n v="121"/>
    <x v="5"/>
    <x v="36"/>
  </r>
  <r>
    <s v="FL1475"/>
    <s v="Miami"/>
    <s v="Tokyo"/>
    <x v="1"/>
    <n v="32000"/>
    <n v="62.512350290966801"/>
    <n v="15.4057830970703"/>
    <n v="2000"/>
    <n v="300"/>
    <n v="100"/>
    <x v="1"/>
    <x v="20"/>
  </r>
  <r>
    <s v="FL1476"/>
    <s v="Houston"/>
    <s v="Paris"/>
    <x v="1"/>
    <n v="30000"/>
    <n v="-115.468827933859"/>
    <n v="7.98207977417779"/>
    <n v="3500"/>
    <n v="300"/>
    <n v="100"/>
    <x v="19"/>
    <x v="20"/>
  </r>
  <r>
    <s v="FL1477"/>
    <s v="New York"/>
    <s v="Sydney"/>
    <x v="1"/>
    <n v="30000"/>
    <n v="69.821852583656494"/>
    <n v="-47.926657433385998"/>
    <n v="2800"/>
    <n v="356"/>
    <n v="120"/>
    <x v="15"/>
    <x v="14"/>
  </r>
  <r>
    <s v="FL1478"/>
    <s v="Miami"/>
    <s v="Sydney"/>
    <x v="0"/>
    <n v="30000"/>
    <n v="-97.344662128571301"/>
    <n v="24.799345532206502"/>
    <n v="2931"/>
    <n v="356"/>
    <n v="105"/>
    <x v="3"/>
    <x v="3"/>
  </r>
  <r>
    <s v="FL1479"/>
    <s v="Miami"/>
    <s v="Tokyo"/>
    <x v="1"/>
    <n v="30000"/>
    <n v="-137.68153194592099"/>
    <n v="57.612150370016899"/>
    <n v="2729"/>
    <n v="397"/>
    <n v="126"/>
    <x v="1"/>
    <x v="1"/>
  </r>
  <r>
    <s v="FL1480"/>
    <s v="New York"/>
    <s v="Paris"/>
    <x v="3"/>
    <n v="30000"/>
    <n v="-120.497583548535"/>
    <n v="-82.515787227613103"/>
    <n v="2847"/>
    <n v="300"/>
    <n v="150"/>
    <x v="13"/>
    <x v="36"/>
  </r>
  <r>
    <s v="FL1481"/>
    <s v="Houston"/>
    <s v="Sydney"/>
    <x v="1"/>
    <n v="30000"/>
    <n v="-179.28283132113501"/>
    <n v="-0.33661016135236799"/>
    <n v="2500"/>
    <n v="356"/>
    <n v="127"/>
    <x v="12"/>
    <x v="14"/>
  </r>
  <r>
    <s v="FL1482"/>
    <s v="Los Angeles"/>
    <s v="Dubai"/>
    <x v="7"/>
    <n v="30000"/>
    <n v="78.746262427270906"/>
    <n v="34.075874178484298"/>
    <n v="2794"/>
    <n v="402"/>
    <n v="113"/>
    <x v="22"/>
    <x v="23"/>
  </r>
  <r>
    <s v="FL1483"/>
    <s v="Miami"/>
    <s v="London"/>
    <x v="6"/>
    <n v="35000"/>
    <n v="83.664377661016502"/>
    <n v="-44.583853127456301"/>
    <n v="3000"/>
    <n v="300"/>
    <n v="50"/>
    <x v="14"/>
    <x v="37"/>
  </r>
  <r>
    <s v="FL1484"/>
    <s v="New York"/>
    <s v="London"/>
    <x v="1"/>
    <n v="30000"/>
    <n v="5.3760059687734003"/>
    <n v="-34.601237047233198"/>
    <n v="2000"/>
    <n v="300"/>
    <n v="50"/>
    <x v="16"/>
    <x v="20"/>
  </r>
  <r>
    <s v="FL1485"/>
    <s v="Chicago"/>
    <s v="London"/>
    <x v="1"/>
    <n v="30000"/>
    <n v="-121.909391620062"/>
    <n v="20.4548225380891"/>
    <n v="2678"/>
    <n v="374"/>
    <n v="116"/>
    <x v="6"/>
    <x v="6"/>
  </r>
  <r>
    <s v="FL1486"/>
    <s v="New York"/>
    <s v="Paris"/>
    <x v="1"/>
    <n v="30000"/>
    <n v="-149.920438496152"/>
    <n v="71.628352819872603"/>
    <n v="2847"/>
    <n v="354"/>
    <n v="122"/>
    <x v="13"/>
    <x v="22"/>
  </r>
  <r>
    <s v="FL1487"/>
    <s v="Chicago"/>
    <s v="Tokyo"/>
    <x v="4"/>
    <n v="30000"/>
    <n v="-173.11357208257701"/>
    <n v="55.786395654521897"/>
    <n v="2583"/>
    <n v="450"/>
    <n v="133"/>
    <x v="2"/>
    <x v="30"/>
  </r>
  <r>
    <s v="FL1488"/>
    <s v="Houston"/>
    <s v="Sydney"/>
    <x v="1"/>
    <n v="30000"/>
    <n v="-120.330656292521"/>
    <n v="14.963439437925"/>
    <n v="2000"/>
    <n v="300"/>
    <n v="150"/>
    <x v="12"/>
    <x v="20"/>
  </r>
  <r>
    <s v="FL1489"/>
    <s v="Los Angeles"/>
    <s v="Dubai"/>
    <x v="6"/>
    <n v="30000"/>
    <n v="140.707992593933"/>
    <n v="41.439909196304903"/>
    <n v="2500"/>
    <n v="150"/>
    <n v="200"/>
    <x v="22"/>
    <x v="32"/>
  </r>
  <r>
    <s v="FL1490"/>
    <s v="New York"/>
    <s v="Dubai"/>
    <x v="7"/>
    <n v="30000"/>
    <n v="-93.046736987394596"/>
    <n v="-24.331955362596201"/>
    <n v="2588"/>
    <n v="402"/>
    <n v="134"/>
    <x v="20"/>
    <x v="23"/>
  </r>
  <r>
    <s v="FL1491"/>
    <s v="Miami"/>
    <s v="Paris"/>
    <x v="2"/>
    <n v="32000"/>
    <n v="-52.462322201802401"/>
    <n v="25.373795057776402"/>
    <n v="2718"/>
    <n v="354"/>
    <n v="115"/>
    <x v="7"/>
    <x v="8"/>
  </r>
  <r>
    <s v="FL1492"/>
    <s v="Houston"/>
    <s v="London"/>
    <x v="2"/>
    <n v="30000"/>
    <n v="-142.07562558672001"/>
    <n v="-6.0873135970397403"/>
    <n v="2500"/>
    <n v="150"/>
    <n v="200"/>
    <x v="8"/>
    <x v="31"/>
  </r>
  <r>
    <s v="FL1493"/>
    <s v="New York"/>
    <s v="Paris"/>
    <x v="1"/>
    <n v="30000"/>
    <n v="-99.949930290658699"/>
    <n v="-55.811495437639003"/>
    <n v="2847"/>
    <n v="354"/>
    <n v="122"/>
    <x v="13"/>
    <x v="22"/>
  </r>
  <r>
    <s v="FL1494"/>
    <s v="Miami"/>
    <s v="Tokyo"/>
    <x v="1"/>
    <n v="30000"/>
    <n v="6.92084548087385"/>
    <n v="36.312889297906302"/>
    <n v="2729"/>
    <n v="397"/>
    <n v="126"/>
    <x v="1"/>
    <x v="1"/>
  </r>
  <r>
    <s v="FL1495"/>
    <s v="New York"/>
    <s v="Tokyo"/>
    <x v="1"/>
    <n v="30000"/>
    <n v="38.790965914434899"/>
    <n v="10.163634722788"/>
    <n v="2954"/>
    <n v="397"/>
    <n v="128"/>
    <x v="24"/>
    <x v="1"/>
  </r>
  <r>
    <s v="FL1496"/>
    <s v="Chicago"/>
    <s v="Sydney"/>
    <x v="5"/>
    <n v="35000"/>
    <n v="-91.673166900164006"/>
    <n v="-25.448115248353499"/>
    <n v="3000"/>
    <n v="150"/>
    <n v="200"/>
    <x v="17"/>
    <x v="11"/>
  </r>
  <r>
    <s v="FL1497"/>
    <s v="New York"/>
    <s v="Sydney"/>
    <x v="6"/>
    <n v="32000"/>
    <n v="-159.216422678958"/>
    <n v="74.041054214153505"/>
    <n v="2500"/>
    <n v="600"/>
    <n v="100"/>
    <x v="15"/>
    <x v="26"/>
  </r>
  <r>
    <s v="FL1498"/>
    <s v="New York"/>
    <s v="Tokyo"/>
    <x v="1"/>
    <n v="30000"/>
    <n v="-39.228167114136497"/>
    <n v="-86.231858791188003"/>
    <n v="3000"/>
    <n v="300"/>
    <n v="150"/>
    <x v="24"/>
    <x v="20"/>
  </r>
  <r>
    <s v="FL1499"/>
    <s v="New York"/>
    <s v="Tokyo"/>
    <x v="1"/>
    <n v="30000"/>
    <n v="-95.686786466519706"/>
    <n v="-33.160832775090697"/>
    <n v="2954"/>
    <n v="397"/>
    <n v="128"/>
    <x v="24"/>
    <x v="1"/>
  </r>
  <r>
    <s v="FL1500"/>
    <s v="Houston"/>
    <s v="Tokyo"/>
    <x v="0"/>
    <n v="30000"/>
    <n v="-100.960587637271"/>
    <n v="-79.761348400023607"/>
    <n v="2550"/>
    <n v="397"/>
    <n v="120"/>
    <x v="0"/>
    <x v="0"/>
  </r>
  <r>
    <s v="FL1501"/>
    <s v="New York"/>
    <s v="Paris"/>
    <x v="1"/>
    <n v="30000"/>
    <n v="165.55060897684399"/>
    <n v="47.974916919892898"/>
    <n v="2847"/>
    <n v="354"/>
    <n v="122"/>
    <x v="13"/>
    <x v="22"/>
  </r>
  <r>
    <s v="FL1502"/>
    <s v="Miami"/>
    <s v="Tokyo"/>
    <x v="3"/>
    <n v="30000"/>
    <n v="41.868174933260697"/>
    <n v="36.379341740482701"/>
    <n v="2500"/>
    <n v="450"/>
    <n v="50"/>
    <x v="1"/>
    <x v="11"/>
  </r>
  <r>
    <s v="FL1503"/>
    <s v="Chicago"/>
    <s v="Dubai"/>
    <x v="4"/>
    <n v="32000"/>
    <n v="20.476239541954499"/>
    <n v="-30.3566006274629"/>
    <n v="3000"/>
    <n v="300"/>
    <n v="150"/>
    <x v="9"/>
    <x v="12"/>
  </r>
  <r>
    <s v="FL1504"/>
    <s v="Chicago"/>
    <s v="London"/>
    <x v="6"/>
    <n v="35000"/>
    <n v="-30.320962731604101"/>
    <n v="31.619322397273201"/>
    <n v="3500"/>
    <n v="300"/>
    <n v="116"/>
    <x v="6"/>
    <x v="37"/>
  </r>
  <r>
    <s v="FL1505"/>
    <s v="New York"/>
    <s v="Tokyo"/>
    <x v="3"/>
    <n v="35000"/>
    <n v="-25.580039965148099"/>
    <n v="-18.731299284729001"/>
    <n v="3500"/>
    <n v="450"/>
    <n v="150"/>
    <x v="24"/>
    <x v="11"/>
  </r>
  <r>
    <s v="FL1506"/>
    <s v="Houston"/>
    <s v="London"/>
    <x v="2"/>
    <n v="30000"/>
    <n v="14.7258013817091"/>
    <n v="46.125682456038199"/>
    <n v="2846"/>
    <n v="374"/>
    <n v="138"/>
    <x v="8"/>
    <x v="9"/>
  </r>
  <r>
    <s v="FL1507"/>
    <s v="Houston"/>
    <s v="Paris"/>
    <x v="6"/>
    <n v="30000"/>
    <n v="70.714730532998601"/>
    <n v="-8.2469407073929109"/>
    <n v="2647"/>
    <n v="300"/>
    <n v="113"/>
    <x v="19"/>
    <x v="37"/>
  </r>
  <r>
    <s v="FL1508"/>
    <s v="Miami"/>
    <s v="London"/>
    <x v="4"/>
    <n v="32000"/>
    <n v="72.772594625458595"/>
    <n v="-15.789648990300201"/>
    <n v="2615"/>
    <n v="450"/>
    <n v="50"/>
    <x v="14"/>
    <x v="30"/>
  </r>
  <r>
    <s v="FL1509"/>
    <s v="New York"/>
    <s v="Paris"/>
    <x v="1"/>
    <n v="35000"/>
    <n v="-118.19019322603801"/>
    <n v="78.251384787894196"/>
    <n v="3500"/>
    <n v="150"/>
    <n v="100"/>
    <x v="13"/>
    <x v="10"/>
  </r>
  <r>
    <s v="FL1510"/>
    <s v="Chicago"/>
    <s v="Dubai"/>
    <x v="1"/>
    <n v="30000"/>
    <n v="4.0590747585724798E-2"/>
    <n v="-44.841762019674"/>
    <n v="2500"/>
    <n v="450"/>
    <n v="114"/>
    <x v="9"/>
    <x v="26"/>
  </r>
  <r>
    <s v="FL1511"/>
    <s v="Houston"/>
    <s v="Paris"/>
    <x v="4"/>
    <n v="32000"/>
    <n v="-31.695085787723301"/>
    <n v="-68.319478800618199"/>
    <n v="2647"/>
    <n v="450"/>
    <n v="113"/>
    <x v="19"/>
    <x v="30"/>
  </r>
  <r>
    <s v="FL1512"/>
    <s v="New York"/>
    <s v="Paris"/>
    <x v="3"/>
    <n v="30000"/>
    <n v="133.38970785697799"/>
    <n v="15.2177603867025"/>
    <n v="2500"/>
    <n v="300"/>
    <n v="50"/>
    <x v="13"/>
    <x v="36"/>
  </r>
  <r>
    <s v="FL1513"/>
    <s v="Houston"/>
    <s v="Sydney"/>
    <x v="1"/>
    <n v="30000"/>
    <n v="47.310811638615498"/>
    <n v="84.477926211152194"/>
    <n v="2500"/>
    <n v="356"/>
    <n v="127"/>
    <x v="12"/>
    <x v="14"/>
  </r>
  <r>
    <s v="FL1514"/>
    <s v="Houston"/>
    <s v="Tokyo"/>
    <x v="0"/>
    <n v="30000"/>
    <n v="11.7014639097534"/>
    <n v="-21.988941529106398"/>
    <n v="2550"/>
    <n v="397"/>
    <n v="120"/>
    <x v="0"/>
    <x v="0"/>
  </r>
  <r>
    <s v="FL1515"/>
    <s v="Chicago"/>
    <s v="Tokyo"/>
    <x v="2"/>
    <n v="35000"/>
    <n v="-138.45792881559001"/>
    <n v="-78.833382546819294"/>
    <n v="3500"/>
    <n v="600"/>
    <n v="200"/>
    <x v="2"/>
    <x v="46"/>
  </r>
  <r>
    <s v="FL1516"/>
    <s v="Los Angeles"/>
    <s v="Dubai"/>
    <x v="3"/>
    <n v="35000"/>
    <n v="38.029640156428101"/>
    <n v="-28.925051884277899"/>
    <n v="2000"/>
    <n v="402"/>
    <n v="100"/>
    <x v="22"/>
    <x v="38"/>
  </r>
  <r>
    <s v="FL1517"/>
    <s v="Miami"/>
    <s v="Dubai"/>
    <x v="4"/>
    <n v="30000"/>
    <n v="-137.806593955116"/>
    <n v="1.0676977775205201"/>
    <n v="2700"/>
    <n v="450"/>
    <n v="150"/>
    <x v="21"/>
    <x v="30"/>
  </r>
  <r>
    <s v="FL1518"/>
    <s v="Miami"/>
    <s v="Tokyo"/>
    <x v="1"/>
    <n v="30000"/>
    <n v="-58.605632796329303"/>
    <n v="-60.853858806201501"/>
    <n v="2729"/>
    <n v="450"/>
    <n v="50"/>
    <x v="1"/>
    <x v="26"/>
  </r>
  <r>
    <s v="FL1519"/>
    <s v="Chicago"/>
    <s v="Sydney"/>
    <x v="1"/>
    <n v="30000"/>
    <n v="-128.57689266684099"/>
    <n v="28.458399250168601"/>
    <n v="2678"/>
    <n v="356"/>
    <n v="137"/>
    <x v="17"/>
    <x v="14"/>
  </r>
  <r>
    <s v="FL1520"/>
    <s v="Houston"/>
    <s v="Tokyo"/>
    <x v="6"/>
    <n v="32000"/>
    <n v="69.146512928772793"/>
    <n v="89.594890021836093"/>
    <n v="3000"/>
    <n v="600"/>
    <n v="200"/>
    <x v="0"/>
    <x v="26"/>
  </r>
  <r>
    <s v="FL1521"/>
    <s v="New York"/>
    <s v="Sydney"/>
    <x v="1"/>
    <n v="30000"/>
    <n v="-105.74923901898499"/>
    <n v="-8.6868943233401108"/>
    <n v="2800"/>
    <n v="356"/>
    <n v="120"/>
    <x v="15"/>
    <x v="14"/>
  </r>
  <r>
    <s v="FL1522"/>
    <s v="Houston"/>
    <s v="Dubai"/>
    <x v="2"/>
    <n v="30000"/>
    <n v="-38.930625652310702"/>
    <n v="-26.148859788561701"/>
    <n v="2500"/>
    <n v="402"/>
    <n v="111"/>
    <x v="11"/>
    <x v="19"/>
  </r>
  <r>
    <s v="FL1523"/>
    <s v="Chicago"/>
    <s v="London"/>
    <x v="1"/>
    <n v="30000"/>
    <n v="142.44291994276"/>
    <n v="-17.873249969795999"/>
    <n v="2678"/>
    <n v="374"/>
    <n v="116"/>
    <x v="6"/>
    <x v="6"/>
  </r>
  <r>
    <s v="FL1524"/>
    <s v="Miami"/>
    <s v="Dubai"/>
    <x v="6"/>
    <n v="32000"/>
    <n v="-106.446101976371"/>
    <n v="-69.273687888863805"/>
    <n v="2000"/>
    <n v="600"/>
    <n v="50"/>
    <x v="21"/>
    <x v="26"/>
  </r>
  <r>
    <s v="FL1525"/>
    <s v="Houston"/>
    <s v="Dubai"/>
    <x v="5"/>
    <n v="35000"/>
    <n v="2.8098230251604801"/>
    <n v="68.989248256720302"/>
    <n v="2500"/>
    <n v="402"/>
    <n v="111"/>
    <x v="11"/>
    <x v="40"/>
  </r>
  <r>
    <s v="FL1526"/>
    <s v="Miami"/>
    <s v="Paris"/>
    <x v="2"/>
    <n v="30000"/>
    <n v="-29.0622019802321"/>
    <n v="-15.3313820061566"/>
    <n v="2718"/>
    <n v="354"/>
    <n v="115"/>
    <x v="7"/>
    <x v="8"/>
  </r>
  <r>
    <s v="FL1527"/>
    <s v="New York"/>
    <s v="Paris"/>
    <x v="1"/>
    <n v="30000"/>
    <n v="-173.475345223537"/>
    <n v="-20.2906059435286"/>
    <n v="2847"/>
    <n v="354"/>
    <n v="122"/>
    <x v="13"/>
    <x v="22"/>
  </r>
  <r>
    <s v="FL1528"/>
    <s v="Miami"/>
    <s v="Paris"/>
    <x v="2"/>
    <n v="30000"/>
    <n v="105.39292088621301"/>
    <n v="28.7442491274854"/>
    <n v="2718"/>
    <n v="354"/>
    <n v="115"/>
    <x v="7"/>
    <x v="8"/>
  </r>
  <r>
    <s v="FL1529"/>
    <s v="Miami"/>
    <s v="Paris"/>
    <x v="2"/>
    <n v="30000"/>
    <n v="-155.14347372674399"/>
    <n v="-10.433984232397799"/>
    <n v="2718"/>
    <n v="354"/>
    <n v="115"/>
    <x v="7"/>
    <x v="8"/>
  </r>
  <r>
    <s v="FL1530"/>
    <s v="Los Angeles"/>
    <s v="Sydney"/>
    <x v="2"/>
    <n v="30000"/>
    <n v="-9.2681924482967002"/>
    <n v="26.682024385412301"/>
    <n v="3000"/>
    <n v="356"/>
    <n v="145"/>
    <x v="4"/>
    <x v="4"/>
  </r>
  <r>
    <s v="FL1531"/>
    <s v="Los Angeles"/>
    <s v="Tokyo"/>
    <x v="4"/>
    <n v="35000"/>
    <n v="21.844186178021999"/>
    <n v="-78.939667776458293"/>
    <n v="2586"/>
    <n v="397"/>
    <n v="100"/>
    <x v="23"/>
    <x v="45"/>
  </r>
  <r>
    <s v="FL1532"/>
    <s v="Los Angeles"/>
    <s v="London"/>
    <x v="2"/>
    <n v="30000"/>
    <n v="46.233524381251399"/>
    <n v="56.470201870000899"/>
    <n v="2760"/>
    <n v="374"/>
    <n v="131"/>
    <x v="10"/>
    <x v="9"/>
  </r>
  <r>
    <s v="FL1533"/>
    <s v="Miami"/>
    <s v="Dubai"/>
    <x v="6"/>
    <n v="35000"/>
    <n v="67.907386550835199"/>
    <n v="79.290711518292497"/>
    <n v="3500"/>
    <n v="450"/>
    <n v="50"/>
    <x v="21"/>
    <x v="28"/>
  </r>
  <r>
    <s v="FL1534"/>
    <s v="Chicago"/>
    <s v="Sydney"/>
    <x v="1"/>
    <n v="30000"/>
    <n v="-88.821941931822593"/>
    <n v="26.777769508689499"/>
    <n v="2678"/>
    <n v="356"/>
    <n v="137"/>
    <x v="17"/>
    <x v="14"/>
  </r>
  <r>
    <s v="FL1535"/>
    <s v="Miami"/>
    <s v="London"/>
    <x v="2"/>
    <n v="30000"/>
    <n v="-176.40764040295801"/>
    <n v="81.821867194585906"/>
    <n v="2615"/>
    <n v="374"/>
    <n v="121"/>
    <x v="14"/>
    <x v="9"/>
  </r>
  <r>
    <s v="FL1536"/>
    <s v="Chicago"/>
    <s v="Sydney"/>
    <x v="1"/>
    <n v="30000"/>
    <n v="80.4397184477683"/>
    <n v="-62.7421834134066"/>
    <n v="2678"/>
    <n v="356"/>
    <n v="137"/>
    <x v="17"/>
    <x v="14"/>
  </r>
  <r>
    <s v="FL1537"/>
    <s v="Chicago"/>
    <s v="Sydney"/>
    <x v="4"/>
    <n v="35000"/>
    <n v="12.836375765128301"/>
    <n v="-4.0650858935363399"/>
    <n v="2678"/>
    <n v="356"/>
    <n v="137"/>
    <x v="17"/>
    <x v="43"/>
  </r>
  <r>
    <s v="FL1538"/>
    <s v="Los Angeles"/>
    <s v="Dubai"/>
    <x v="1"/>
    <n v="30000"/>
    <n v="121.00237315461"/>
    <n v="18.325212110180502"/>
    <n v="2794"/>
    <n v="450"/>
    <n v="100"/>
    <x v="22"/>
    <x v="26"/>
  </r>
  <r>
    <s v="FL1539"/>
    <s v="Houston"/>
    <s v="Tokyo"/>
    <x v="6"/>
    <n v="30000"/>
    <n v="115.69981064424999"/>
    <n v="14.712596535813599"/>
    <n v="2550"/>
    <n v="600"/>
    <n v="50"/>
    <x v="0"/>
    <x v="26"/>
  </r>
  <r>
    <s v="FL1540"/>
    <s v="New York"/>
    <s v="Paris"/>
    <x v="6"/>
    <n v="30000"/>
    <n v="123.597420403638"/>
    <n v="-17.736879763972201"/>
    <n v="2847"/>
    <n v="300"/>
    <n v="100"/>
    <x v="13"/>
    <x v="37"/>
  </r>
  <r>
    <s v="FL1541"/>
    <s v="Los Angeles"/>
    <s v="Tokyo"/>
    <x v="0"/>
    <n v="30000"/>
    <n v="-5.3659224073655301"/>
    <n v="-29.144806314073001"/>
    <n v="2586"/>
    <n v="397"/>
    <n v="119"/>
    <x v="23"/>
    <x v="0"/>
  </r>
  <r>
    <s v="FL1542"/>
    <s v="Los Angeles"/>
    <s v="Dubai"/>
    <x v="7"/>
    <n v="30000"/>
    <n v="-59.893777498728397"/>
    <n v="-67.171675940924601"/>
    <n v="2794"/>
    <n v="402"/>
    <n v="113"/>
    <x v="22"/>
    <x v="23"/>
  </r>
  <r>
    <s v="FL1543"/>
    <s v="Houston"/>
    <s v="Dubai"/>
    <x v="2"/>
    <n v="30000"/>
    <n v="104.96095293289299"/>
    <n v="-19.486358898789899"/>
    <n v="2500"/>
    <n v="402"/>
    <n v="111"/>
    <x v="11"/>
    <x v="19"/>
  </r>
  <r>
    <s v="FL1544"/>
    <s v="New York"/>
    <s v="Dubai"/>
    <x v="7"/>
    <n v="30000"/>
    <n v="-17.534119309468199"/>
    <n v="-60.721053281012701"/>
    <n v="2588"/>
    <n v="402"/>
    <n v="134"/>
    <x v="20"/>
    <x v="23"/>
  </r>
  <r>
    <s v="FL1545"/>
    <s v="Miami"/>
    <s v="London"/>
    <x v="2"/>
    <n v="30000"/>
    <n v="-113.960809294764"/>
    <n v="42.185821768599297"/>
    <n v="2615"/>
    <n v="450"/>
    <n v="50"/>
    <x v="14"/>
    <x v="7"/>
  </r>
  <r>
    <s v="FL1546"/>
    <s v="Miami"/>
    <s v="Tokyo"/>
    <x v="3"/>
    <n v="30000"/>
    <n v="127.790647042131"/>
    <n v="-52.410431610973802"/>
    <n v="3000"/>
    <n v="300"/>
    <n v="126"/>
    <x v="1"/>
    <x v="36"/>
  </r>
  <r>
    <s v="FL1547"/>
    <s v="Los Angeles"/>
    <s v="Tokyo"/>
    <x v="0"/>
    <n v="30000"/>
    <n v="137.721555638045"/>
    <n v="-79.458245048783894"/>
    <n v="2586"/>
    <n v="397"/>
    <n v="119"/>
    <x v="23"/>
    <x v="0"/>
  </r>
  <r>
    <s v="FL1548"/>
    <s v="New York"/>
    <s v="Sydney"/>
    <x v="1"/>
    <n v="30000"/>
    <n v="-12.1284877895388"/>
    <n v="9.4259048071021692"/>
    <n v="2800"/>
    <n v="356"/>
    <n v="120"/>
    <x v="15"/>
    <x v="14"/>
  </r>
  <r>
    <s v="FL1549"/>
    <s v="Los Angeles"/>
    <s v="Sydney"/>
    <x v="2"/>
    <n v="30000"/>
    <n v="-152.74809816847699"/>
    <n v="17.141351889492299"/>
    <n v="3000"/>
    <n v="356"/>
    <n v="145"/>
    <x v="4"/>
    <x v="4"/>
  </r>
  <r>
    <s v="FL1550"/>
    <s v="Chicago"/>
    <s v="Sydney"/>
    <x v="1"/>
    <n v="32000"/>
    <n v="-40.382607629904697"/>
    <n v="66.944351030491006"/>
    <n v="2500"/>
    <n v="356"/>
    <n v="200"/>
    <x v="17"/>
    <x v="14"/>
  </r>
  <r>
    <s v="FL1551"/>
    <s v="Los Angeles"/>
    <s v="Dubai"/>
    <x v="3"/>
    <n v="35000"/>
    <n v="109.27355740653699"/>
    <n v="13.8566902351827"/>
    <n v="2000"/>
    <n v="450"/>
    <n v="50"/>
    <x v="22"/>
    <x v="11"/>
  </r>
  <r>
    <s v="FL1552"/>
    <s v="Los Angeles"/>
    <s v="Tokyo"/>
    <x v="0"/>
    <n v="30000"/>
    <n v="144.63865027664201"/>
    <n v="-27.813446329779801"/>
    <n v="2586"/>
    <n v="397"/>
    <n v="119"/>
    <x v="23"/>
    <x v="0"/>
  </r>
  <r>
    <s v="FL1553"/>
    <s v="Miami"/>
    <s v="Dubai"/>
    <x v="1"/>
    <n v="30000"/>
    <n v="-106.749812700866"/>
    <n v="54.5421386747377"/>
    <n v="3500"/>
    <n v="150"/>
    <n v="50"/>
    <x v="21"/>
    <x v="10"/>
  </r>
  <r>
    <s v="FL1554"/>
    <s v="Miami"/>
    <s v="London"/>
    <x v="2"/>
    <n v="30000"/>
    <n v="-155.88949967090201"/>
    <n v="7.2502007737357799"/>
    <n v="2615"/>
    <n v="374"/>
    <n v="121"/>
    <x v="14"/>
    <x v="9"/>
  </r>
  <r>
    <s v="FL1555"/>
    <s v="Miami"/>
    <s v="Sydney"/>
    <x v="6"/>
    <n v="35000"/>
    <n v="135.846163127822"/>
    <n v="-75.729548766385506"/>
    <n v="2931"/>
    <n v="356"/>
    <n v="50"/>
    <x v="3"/>
    <x v="44"/>
  </r>
  <r>
    <s v="FL1556"/>
    <s v="Chicago"/>
    <s v="Dubai"/>
    <x v="0"/>
    <n v="32000"/>
    <n v="-39.814221967604901"/>
    <n v="11.853100856384399"/>
    <n v="2000"/>
    <n v="450"/>
    <n v="200"/>
    <x v="9"/>
    <x v="56"/>
  </r>
  <r>
    <s v="FL1557"/>
    <s v="Miami"/>
    <s v="Dubai"/>
    <x v="1"/>
    <n v="30000"/>
    <n v="15.0339471363228"/>
    <n v="73.4433381758992"/>
    <n v="2700"/>
    <n v="402"/>
    <n v="128"/>
    <x v="21"/>
    <x v="34"/>
  </r>
  <r>
    <s v="FL1558"/>
    <s v="New York"/>
    <s v="London"/>
    <x v="5"/>
    <n v="35000"/>
    <n v="168.503692338273"/>
    <n v="-18.663727410320298"/>
    <n v="2000"/>
    <n v="300"/>
    <n v="50"/>
    <x v="16"/>
    <x v="24"/>
  </r>
  <r>
    <s v="FL1559"/>
    <s v="Houston"/>
    <s v="Paris"/>
    <x v="1"/>
    <n v="30000"/>
    <n v="-156.03669795088001"/>
    <n v="-36.661355658036001"/>
    <n v="2647"/>
    <n v="354"/>
    <n v="113"/>
    <x v="19"/>
    <x v="22"/>
  </r>
  <r>
    <s v="FL1560"/>
    <s v="New York"/>
    <s v="Tokyo"/>
    <x v="6"/>
    <n v="30000"/>
    <n v="53.394482682754401"/>
    <n v="-64.175497736756398"/>
    <n v="2954"/>
    <n v="397"/>
    <n v="150"/>
    <x v="24"/>
    <x v="52"/>
  </r>
  <r>
    <s v="FL1561"/>
    <s v="New York"/>
    <s v="Paris"/>
    <x v="5"/>
    <n v="32000"/>
    <n v="-153.32204787304801"/>
    <n v="-62.739806051635703"/>
    <n v="3500"/>
    <n v="150"/>
    <n v="200"/>
    <x v="13"/>
    <x v="11"/>
  </r>
  <r>
    <s v="FL1562"/>
    <s v="Miami"/>
    <s v="Sydney"/>
    <x v="1"/>
    <n v="30000"/>
    <n v="-44.831185752059902"/>
    <n v="-12.1011328184726"/>
    <n v="3500"/>
    <n v="150"/>
    <n v="105"/>
    <x v="3"/>
    <x v="10"/>
  </r>
  <r>
    <s v="FL1563"/>
    <s v="Houston"/>
    <s v="Dubai"/>
    <x v="6"/>
    <n v="32000"/>
    <n v="109.373236269641"/>
    <n v="17.2223683490753"/>
    <n v="3000"/>
    <n v="402"/>
    <n v="100"/>
    <x v="11"/>
    <x v="27"/>
  </r>
  <r>
    <s v="FL1564"/>
    <s v="Houston"/>
    <s v="London"/>
    <x v="1"/>
    <n v="30000"/>
    <n v="-23.949996207971601"/>
    <n v="-75.489227069471696"/>
    <n v="2846"/>
    <n v="450"/>
    <n v="50"/>
    <x v="8"/>
    <x v="26"/>
  </r>
  <r>
    <s v="FL1565"/>
    <s v="Houston"/>
    <s v="London"/>
    <x v="1"/>
    <n v="32000"/>
    <n v="178.985647405062"/>
    <n v="79.122346024529804"/>
    <n v="2500"/>
    <n v="300"/>
    <n v="138"/>
    <x v="8"/>
    <x v="20"/>
  </r>
  <r>
    <s v="FL1566"/>
    <s v="Chicago"/>
    <s v="Tokyo"/>
    <x v="5"/>
    <n v="35000"/>
    <n v="21.261342580776802"/>
    <n v="45.924051140135298"/>
    <n v="2500"/>
    <n v="450"/>
    <n v="100"/>
    <x v="2"/>
    <x v="16"/>
  </r>
  <r>
    <s v="FL1567"/>
    <s v="Miami"/>
    <s v="Paris"/>
    <x v="2"/>
    <n v="30000"/>
    <n v="-64.381625051056702"/>
    <n v="15.592305291059301"/>
    <n v="2718"/>
    <n v="354"/>
    <n v="115"/>
    <x v="7"/>
    <x v="8"/>
  </r>
  <r>
    <s v="FL1568"/>
    <s v="Houston"/>
    <s v="Tokyo"/>
    <x v="0"/>
    <n v="32000"/>
    <n v="-100.759922674289"/>
    <n v="59.118960769018301"/>
    <n v="2500"/>
    <n v="600"/>
    <n v="200"/>
    <x v="0"/>
    <x v="24"/>
  </r>
  <r>
    <s v="FL1569"/>
    <s v="Chicago"/>
    <s v="Dubai"/>
    <x v="3"/>
    <n v="32000"/>
    <n v="-53.812607656981697"/>
    <n v="-75.566383773819595"/>
    <n v="2636"/>
    <n v="600"/>
    <n v="114"/>
    <x v="9"/>
    <x v="50"/>
  </r>
  <r>
    <s v="FL1570"/>
    <s v="Los Angeles"/>
    <s v="Tokyo"/>
    <x v="0"/>
    <n v="30000"/>
    <n v="-45.888021446561702"/>
    <n v="-4.1690020080376096"/>
    <n v="2586"/>
    <n v="397"/>
    <n v="119"/>
    <x v="23"/>
    <x v="0"/>
  </r>
  <r>
    <s v="FL1571"/>
    <s v="Los Angeles"/>
    <s v="London"/>
    <x v="5"/>
    <n v="30000"/>
    <n v="-155.26307601937401"/>
    <n v="23.416762835099401"/>
    <n v="3000"/>
    <n v="150"/>
    <n v="200"/>
    <x v="10"/>
    <x v="11"/>
  </r>
  <r>
    <s v="FL1572"/>
    <s v="Chicago"/>
    <s v="London"/>
    <x v="1"/>
    <n v="32000"/>
    <n v="-46.953288206361698"/>
    <n v="59.157523101292099"/>
    <n v="2500"/>
    <n v="450"/>
    <n v="116"/>
    <x v="6"/>
    <x v="26"/>
  </r>
  <r>
    <s v="FL1573"/>
    <s v="Chicago"/>
    <s v="Sydney"/>
    <x v="6"/>
    <n v="30000"/>
    <n v="-12.874132893879001"/>
    <n v="51.024520808868203"/>
    <n v="3500"/>
    <n v="300"/>
    <n v="200"/>
    <x v="17"/>
    <x v="37"/>
  </r>
  <r>
    <s v="FL1574"/>
    <s v="Miami"/>
    <s v="Sydney"/>
    <x v="6"/>
    <n v="30000"/>
    <n v="80.185590805969696"/>
    <n v="-40.127535051588097"/>
    <n v="2931"/>
    <n v="600"/>
    <n v="200"/>
    <x v="3"/>
    <x v="26"/>
  </r>
  <r>
    <s v="FL1575"/>
    <s v="Miami"/>
    <s v="Dubai"/>
    <x v="1"/>
    <n v="30000"/>
    <n v="56.422614499778902"/>
    <n v="79.358430520656796"/>
    <n v="2700"/>
    <n v="402"/>
    <n v="128"/>
    <x v="21"/>
    <x v="34"/>
  </r>
  <r>
    <s v="FL1576"/>
    <s v="Los Angeles"/>
    <s v="Paris"/>
    <x v="2"/>
    <n v="30000"/>
    <n v="75.155635882495503"/>
    <n v="-67.617748542443294"/>
    <n v="2882"/>
    <n v="354"/>
    <n v="125"/>
    <x v="18"/>
    <x v="8"/>
  </r>
  <r>
    <s v="FL1577"/>
    <s v="Houston"/>
    <s v="Tokyo"/>
    <x v="0"/>
    <n v="30000"/>
    <n v="-176.98907452433099"/>
    <n v="67.524051351807401"/>
    <n v="2550"/>
    <n v="600"/>
    <n v="100"/>
    <x v="0"/>
    <x v="24"/>
  </r>
  <r>
    <s v="FL1578"/>
    <s v="Los Angeles"/>
    <s v="Dubai"/>
    <x v="7"/>
    <n v="30000"/>
    <n v="-101.639736151007"/>
    <n v="84.769244928831299"/>
    <n v="2794"/>
    <n v="402"/>
    <n v="113"/>
    <x v="22"/>
    <x v="23"/>
  </r>
  <r>
    <s v="FL1579"/>
    <s v="Houston"/>
    <s v="Sydney"/>
    <x v="1"/>
    <n v="35000"/>
    <n v="58.206343823948302"/>
    <n v="-58.112365819927398"/>
    <n v="2500"/>
    <n v="356"/>
    <n v="127"/>
    <x v="12"/>
    <x v="14"/>
  </r>
  <r>
    <s v="FL1580"/>
    <s v="Houston"/>
    <s v="Tokyo"/>
    <x v="0"/>
    <n v="30000"/>
    <n v="-5.76382745529102"/>
    <n v="39.971891556681399"/>
    <n v="2550"/>
    <n v="397"/>
    <n v="120"/>
    <x v="0"/>
    <x v="0"/>
  </r>
  <r>
    <s v="FL1581"/>
    <s v="Miami"/>
    <s v="Sydney"/>
    <x v="0"/>
    <n v="30000"/>
    <n v="-178.08714875939501"/>
    <n v="-82.748606619960299"/>
    <n v="2931"/>
    <n v="356"/>
    <n v="105"/>
    <x v="3"/>
    <x v="3"/>
  </r>
  <r>
    <s v="FL1582"/>
    <s v="New York"/>
    <s v="Tokyo"/>
    <x v="3"/>
    <n v="30000"/>
    <n v="109.618071275456"/>
    <n v="-17.023891474952102"/>
    <n v="2954"/>
    <n v="450"/>
    <n v="100"/>
    <x v="24"/>
    <x v="11"/>
  </r>
  <r>
    <s v="FL1583"/>
    <s v="New York"/>
    <s v="Paris"/>
    <x v="1"/>
    <n v="30000"/>
    <n v="98.211446384521494"/>
    <n v="2.93099385558132"/>
    <n v="2847"/>
    <n v="354"/>
    <n v="122"/>
    <x v="13"/>
    <x v="22"/>
  </r>
  <r>
    <s v="FL1584"/>
    <s v="Chicago"/>
    <s v="Dubai"/>
    <x v="0"/>
    <n v="30000"/>
    <n v="17.430898677682499"/>
    <n v="14.516140663734101"/>
    <n v="2636"/>
    <n v="402"/>
    <n v="114"/>
    <x v="9"/>
    <x v="42"/>
  </r>
  <r>
    <s v="FL1585"/>
    <s v="Miami"/>
    <s v="Tokyo"/>
    <x v="3"/>
    <n v="35000"/>
    <n v="-156.07320272054201"/>
    <n v="78.4687046847407"/>
    <n v="3000"/>
    <n v="450"/>
    <n v="126"/>
    <x v="1"/>
    <x v="11"/>
  </r>
  <r>
    <s v="FL1586"/>
    <s v="Houston"/>
    <s v="London"/>
    <x v="4"/>
    <n v="35000"/>
    <n v="95.945417831730495"/>
    <n v="31.005123712955001"/>
    <n v="2500"/>
    <n v="150"/>
    <n v="50"/>
    <x v="8"/>
    <x v="48"/>
  </r>
  <r>
    <s v="FL1587"/>
    <s v="New York"/>
    <s v="London"/>
    <x v="1"/>
    <n v="30000"/>
    <n v="30.136891583291"/>
    <n v="-3.36996878053733"/>
    <n v="2760"/>
    <n v="374"/>
    <n v="107"/>
    <x v="16"/>
    <x v="6"/>
  </r>
  <r>
    <s v="FL1588"/>
    <s v="Houston"/>
    <s v="Tokyo"/>
    <x v="0"/>
    <n v="30000"/>
    <n v="101.505591776865"/>
    <n v="55.741506527860103"/>
    <n v="2550"/>
    <n v="397"/>
    <n v="120"/>
    <x v="0"/>
    <x v="0"/>
  </r>
  <r>
    <s v="FL1589"/>
    <s v="New York"/>
    <s v="Tokyo"/>
    <x v="1"/>
    <n v="30000"/>
    <n v="90.628917262502597"/>
    <n v="81.095907771793605"/>
    <n v="2954"/>
    <n v="397"/>
    <n v="128"/>
    <x v="24"/>
    <x v="1"/>
  </r>
  <r>
    <s v="FL1590"/>
    <s v="New York"/>
    <s v="Tokyo"/>
    <x v="1"/>
    <n v="30000"/>
    <n v="109.080745904821"/>
    <n v="-86.028093237187605"/>
    <n v="2954"/>
    <n v="397"/>
    <n v="128"/>
    <x v="24"/>
    <x v="1"/>
  </r>
  <r>
    <s v="FL1591"/>
    <s v="New York"/>
    <s v="London"/>
    <x v="5"/>
    <n v="30000"/>
    <n v="6.48290390566493"/>
    <n v="86.853829006086997"/>
    <n v="2000"/>
    <n v="600"/>
    <n v="100"/>
    <x v="16"/>
    <x v="33"/>
  </r>
  <r>
    <s v="FL1592"/>
    <s v="Miami"/>
    <s v="London"/>
    <x v="2"/>
    <n v="35000"/>
    <n v="-129.48317345033499"/>
    <n v="-74.496214968537501"/>
    <n v="3500"/>
    <n v="600"/>
    <n v="50"/>
    <x v="14"/>
    <x v="46"/>
  </r>
  <r>
    <s v="FL1593"/>
    <s v="Los Angeles"/>
    <s v="Tokyo"/>
    <x v="0"/>
    <n v="32000"/>
    <n v="61.616690416687902"/>
    <n v="56.589620268376997"/>
    <n v="2500"/>
    <n v="450"/>
    <n v="100"/>
    <x v="23"/>
    <x v="56"/>
  </r>
  <r>
    <s v="FL1594"/>
    <s v="Houston"/>
    <s v="Sydney"/>
    <x v="1"/>
    <n v="30000"/>
    <n v="43.3705626187094"/>
    <n v="-39.539744540745801"/>
    <n v="2500"/>
    <n v="356"/>
    <n v="127"/>
    <x v="12"/>
    <x v="14"/>
  </r>
  <r>
    <s v="FL1595"/>
    <s v="Miami"/>
    <s v="Sydney"/>
    <x v="0"/>
    <n v="30000"/>
    <n v="87.211147391671403"/>
    <n v="-66.207661604303098"/>
    <n v="2931"/>
    <n v="356"/>
    <n v="105"/>
    <x v="3"/>
    <x v="3"/>
  </r>
  <r>
    <s v="FL1596"/>
    <s v="Miami"/>
    <s v="Paris"/>
    <x v="2"/>
    <n v="30000"/>
    <n v="-118.842837821735"/>
    <n v="-10.8259848515097"/>
    <n v="2718"/>
    <n v="354"/>
    <n v="115"/>
    <x v="7"/>
    <x v="8"/>
  </r>
  <r>
    <s v="FL1597"/>
    <s v="Miami"/>
    <s v="Dubai"/>
    <x v="5"/>
    <n v="30000"/>
    <n v="-109.808928035896"/>
    <n v="25.912184300570399"/>
    <n v="2000"/>
    <n v="450"/>
    <n v="128"/>
    <x v="21"/>
    <x v="16"/>
  </r>
  <r>
    <s v="FL1598"/>
    <s v="Miami"/>
    <s v="Sydney"/>
    <x v="1"/>
    <n v="30000"/>
    <n v="140.54742619895799"/>
    <n v="-21.428667895774499"/>
    <n v="2931"/>
    <n v="450"/>
    <n v="100"/>
    <x v="3"/>
    <x v="26"/>
  </r>
  <r>
    <s v="FL1599"/>
    <s v="Miami"/>
    <s v="London"/>
    <x v="2"/>
    <n v="30000"/>
    <n v="89.992007442745503"/>
    <n v="-80.178226509114197"/>
    <n v="2615"/>
    <n v="374"/>
    <n v="121"/>
    <x v="14"/>
    <x v="9"/>
  </r>
  <r>
    <s v="FL1600"/>
    <s v="Chicago"/>
    <s v="Sydney"/>
    <x v="1"/>
    <n v="30000"/>
    <n v="146.96225593211599"/>
    <n v="17.903005138569"/>
    <n v="2500"/>
    <n v="356"/>
    <n v="50"/>
    <x v="17"/>
    <x v="14"/>
  </r>
  <r>
    <s v="FL1601"/>
    <s v="Houston"/>
    <s v="Paris"/>
    <x v="1"/>
    <n v="30000"/>
    <n v="93.137515619011495"/>
    <n v="72.432589699921394"/>
    <n v="2647"/>
    <n v="354"/>
    <n v="113"/>
    <x v="19"/>
    <x v="22"/>
  </r>
  <r>
    <s v="FL1602"/>
    <s v="Miami"/>
    <s v="Paris"/>
    <x v="1"/>
    <n v="30000"/>
    <n v="34.975910156508697"/>
    <n v="-21.021234129494701"/>
    <n v="3000"/>
    <n v="300"/>
    <n v="50"/>
    <x v="7"/>
    <x v="20"/>
  </r>
  <r>
    <s v="FL1603"/>
    <s v="Houston"/>
    <s v="Dubai"/>
    <x v="2"/>
    <n v="30000"/>
    <n v="55.487785330034498"/>
    <n v="-51.060100026451103"/>
    <n v="2500"/>
    <n v="402"/>
    <n v="111"/>
    <x v="11"/>
    <x v="19"/>
  </r>
  <r>
    <s v="FL1604"/>
    <s v="Chicago"/>
    <s v="Sydney"/>
    <x v="1"/>
    <n v="30000"/>
    <n v="140.08605261840401"/>
    <n v="-10.3360777320932"/>
    <n v="2678"/>
    <n v="356"/>
    <n v="137"/>
    <x v="17"/>
    <x v="14"/>
  </r>
  <r>
    <s v="FL1605"/>
    <s v="Chicago"/>
    <s v="London"/>
    <x v="1"/>
    <n v="30000"/>
    <n v="28.3704316242986"/>
    <n v="-81.294712011219403"/>
    <n v="2000"/>
    <n v="374"/>
    <n v="200"/>
    <x v="6"/>
    <x v="6"/>
  </r>
  <r>
    <s v="FL1606"/>
    <s v="Houston"/>
    <s v="London"/>
    <x v="4"/>
    <n v="30000"/>
    <n v="47.660876758219501"/>
    <n v="57.687765206449498"/>
    <n v="3500"/>
    <n v="374"/>
    <n v="138"/>
    <x v="8"/>
    <x v="47"/>
  </r>
  <r>
    <s v="FL1607"/>
    <s v="New York"/>
    <s v="Tokyo"/>
    <x v="1"/>
    <n v="30000"/>
    <n v="-123.668382238704"/>
    <n v="58.741345971033603"/>
    <n v="2954"/>
    <n v="397"/>
    <n v="150"/>
    <x v="24"/>
    <x v="1"/>
  </r>
  <r>
    <s v="FL1608"/>
    <s v="Los Angeles"/>
    <s v="London"/>
    <x v="3"/>
    <n v="30000"/>
    <n v="-9.3883607582030209"/>
    <n v="15.8400834173331"/>
    <n v="2000"/>
    <n v="600"/>
    <n v="50"/>
    <x v="10"/>
    <x v="50"/>
  </r>
  <r>
    <s v="FL1609"/>
    <s v="New York"/>
    <s v="Dubai"/>
    <x v="3"/>
    <n v="30000"/>
    <n v="77.902960304915595"/>
    <n v="-26.441479991089899"/>
    <n v="2588"/>
    <n v="402"/>
    <n v="50"/>
    <x v="20"/>
    <x v="38"/>
  </r>
  <r>
    <s v="FL1610"/>
    <s v="New York"/>
    <s v="Dubai"/>
    <x v="3"/>
    <n v="35000"/>
    <n v="-82.4606286061085"/>
    <n v="53.961005600241002"/>
    <n v="2500"/>
    <n v="600"/>
    <n v="100"/>
    <x v="20"/>
    <x v="50"/>
  </r>
  <r>
    <s v="FL1611"/>
    <s v="New York"/>
    <s v="London"/>
    <x v="6"/>
    <n v="30000"/>
    <n v="-107.18849501116701"/>
    <n v="9.8436644619060907"/>
    <n v="3500"/>
    <n v="300"/>
    <n v="107"/>
    <x v="16"/>
    <x v="37"/>
  </r>
  <r>
    <s v="FL1612"/>
    <s v="Miami"/>
    <s v="London"/>
    <x v="5"/>
    <n v="30000"/>
    <n v="-67.022349039210397"/>
    <n v="58.667815539002902"/>
    <n v="2500"/>
    <n v="150"/>
    <n v="150"/>
    <x v="14"/>
    <x v="11"/>
  </r>
  <r>
    <s v="FL1613"/>
    <s v="Chicago"/>
    <s v="Tokyo"/>
    <x v="2"/>
    <n v="30000"/>
    <n v="-93.059773922580007"/>
    <n v="23.662582664943699"/>
    <n v="2583"/>
    <n v="397"/>
    <n v="133"/>
    <x v="2"/>
    <x v="2"/>
  </r>
  <r>
    <s v="FL1614"/>
    <s v="New York"/>
    <s v="London"/>
    <x v="4"/>
    <n v="32000"/>
    <n v="-102.631450666898"/>
    <n v="51.192985178303502"/>
    <n v="3500"/>
    <n v="150"/>
    <n v="100"/>
    <x v="16"/>
    <x v="48"/>
  </r>
  <r>
    <s v="FL1615"/>
    <s v="Chicago"/>
    <s v="Tokyo"/>
    <x v="3"/>
    <n v="35000"/>
    <n v="-27.0536965674887"/>
    <n v="17.741338779196798"/>
    <n v="2583"/>
    <n v="300"/>
    <n v="150"/>
    <x v="2"/>
    <x v="36"/>
  </r>
  <r>
    <s v="FL1616"/>
    <s v="Houston"/>
    <s v="Tokyo"/>
    <x v="6"/>
    <n v="30000"/>
    <n v="146.82186499807199"/>
    <n v="-15.4546077211801"/>
    <n v="2500"/>
    <n v="150"/>
    <n v="120"/>
    <x v="0"/>
    <x v="32"/>
  </r>
  <r>
    <s v="FL1617"/>
    <s v="Los Angeles"/>
    <s v="London"/>
    <x v="2"/>
    <n v="30000"/>
    <n v="2.5414728259385702"/>
    <n v="82.430254786704793"/>
    <n v="2760"/>
    <n v="374"/>
    <n v="131"/>
    <x v="10"/>
    <x v="9"/>
  </r>
  <r>
    <s v="FL1618"/>
    <s v="Houston"/>
    <s v="Paris"/>
    <x v="4"/>
    <n v="30000"/>
    <n v="-112.34866290648399"/>
    <n v="7.4004884781920603"/>
    <n v="2000"/>
    <n v="450"/>
    <n v="50"/>
    <x v="19"/>
    <x v="30"/>
  </r>
  <r>
    <s v="FL1619"/>
    <s v="Houston"/>
    <s v="Paris"/>
    <x v="6"/>
    <n v="32000"/>
    <n v="-152.29019902288499"/>
    <n v="18.916113337296899"/>
    <n v="2500"/>
    <n v="150"/>
    <n v="50"/>
    <x v="19"/>
    <x v="32"/>
  </r>
  <r>
    <s v="FL1620"/>
    <s v="Miami"/>
    <s v="Tokyo"/>
    <x v="1"/>
    <n v="32000"/>
    <n v="70.616212249653103"/>
    <n v="-50.312224905345097"/>
    <n v="2000"/>
    <n v="150"/>
    <n v="100"/>
    <x v="1"/>
    <x v="10"/>
  </r>
  <r>
    <s v="FL1621"/>
    <s v="Los Angeles"/>
    <s v="London"/>
    <x v="2"/>
    <n v="30000"/>
    <n v="-42.192444802900397"/>
    <n v="22.617142096909799"/>
    <n v="2760"/>
    <n v="374"/>
    <n v="131"/>
    <x v="10"/>
    <x v="9"/>
  </r>
  <r>
    <s v="FL1622"/>
    <s v="Houston"/>
    <s v="Paris"/>
    <x v="1"/>
    <n v="30000"/>
    <n v="115.859140770729"/>
    <n v="12.8893769069299"/>
    <n v="3000"/>
    <n v="354"/>
    <n v="113"/>
    <x v="19"/>
    <x v="22"/>
  </r>
  <r>
    <s v="FL1623"/>
    <s v="Houston"/>
    <s v="London"/>
    <x v="5"/>
    <n v="30000"/>
    <n v="57.423876710677298"/>
    <n v="-56.729088369535503"/>
    <n v="3000"/>
    <n v="374"/>
    <n v="150"/>
    <x v="8"/>
    <x v="41"/>
  </r>
  <r>
    <s v="FL1624"/>
    <s v="Los Angeles"/>
    <s v="London"/>
    <x v="5"/>
    <n v="32000"/>
    <n v="106.64692219489299"/>
    <n v="-79.274322476434094"/>
    <n v="2500"/>
    <n v="450"/>
    <n v="100"/>
    <x v="10"/>
    <x v="16"/>
  </r>
  <r>
    <s v="FL1625"/>
    <s v="Los Angeles"/>
    <s v="London"/>
    <x v="6"/>
    <n v="35000"/>
    <n v="-82.099425809358493"/>
    <n v="18.784677548658799"/>
    <n v="2500"/>
    <n v="600"/>
    <n v="131"/>
    <x v="10"/>
    <x v="26"/>
  </r>
  <r>
    <s v="FL1626"/>
    <s v="Houston"/>
    <s v="Sydney"/>
    <x v="1"/>
    <n v="30000"/>
    <n v="69.249212085980901"/>
    <n v="47.464608483057702"/>
    <n v="2500"/>
    <n v="356"/>
    <n v="127"/>
    <x v="12"/>
    <x v="14"/>
  </r>
  <r>
    <s v="FL1627"/>
    <s v="Los Angeles"/>
    <s v="London"/>
    <x v="5"/>
    <n v="35000"/>
    <n v="-84.937685510261204"/>
    <n v="4.2122467659614804"/>
    <n v="3500"/>
    <n v="150"/>
    <n v="150"/>
    <x v="10"/>
    <x v="11"/>
  </r>
  <r>
    <s v="FL1628"/>
    <s v="Houston"/>
    <s v="Sydney"/>
    <x v="1"/>
    <n v="30000"/>
    <n v="158.06465260210501"/>
    <n v="-49.180927442463798"/>
    <n v="2500"/>
    <n v="356"/>
    <n v="127"/>
    <x v="12"/>
    <x v="14"/>
  </r>
  <r>
    <s v="FL1629"/>
    <s v="Houston"/>
    <s v="Tokyo"/>
    <x v="0"/>
    <n v="30000"/>
    <n v="49.0947413520148"/>
    <n v="29.9739558047463"/>
    <n v="2550"/>
    <n v="397"/>
    <n v="120"/>
    <x v="0"/>
    <x v="0"/>
  </r>
  <r>
    <s v="FL1630"/>
    <s v="Miami"/>
    <s v="Paris"/>
    <x v="6"/>
    <n v="35000"/>
    <n v="-63.1757519368769"/>
    <n v="-75.580969210271604"/>
    <n v="2000"/>
    <n v="600"/>
    <n v="100"/>
    <x v="7"/>
    <x v="26"/>
  </r>
  <r>
    <s v="FL1631"/>
    <s v="New York"/>
    <s v="Paris"/>
    <x v="1"/>
    <n v="30000"/>
    <n v="-82.975729574781894"/>
    <n v="-10.469933135648199"/>
    <n v="2847"/>
    <n v="354"/>
    <n v="122"/>
    <x v="13"/>
    <x v="22"/>
  </r>
  <r>
    <s v="FL1632"/>
    <s v="Houston"/>
    <s v="Paris"/>
    <x v="6"/>
    <n v="30000"/>
    <n v="-111.266429374208"/>
    <n v="-60.593983488284401"/>
    <n v="2500"/>
    <n v="300"/>
    <n v="50"/>
    <x v="19"/>
    <x v="37"/>
  </r>
  <r>
    <s v="FL1633"/>
    <s v="Chicago"/>
    <s v="Paris"/>
    <x v="5"/>
    <n v="30000"/>
    <n v="70.070745201742"/>
    <n v="-56.797370809221"/>
    <n v="2000"/>
    <n v="354"/>
    <n v="200"/>
    <x v="5"/>
    <x v="25"/>
  </r>
  <r>
    <s v="FL1634"/>
    <s v="New York"/>
    <s v="Paris"/>
    <x v="6"/>
    <n v="30000"/>
    <n v="-101.26237932074601"/>
    <n v="-53.587089151523301"/>
    <n v="3000"/>
    <n v="150"/>
    <n v="200"/>
    <x v="13"/>
    <x v="32"/>
  </r>
  <r>
    <s v="FL1635"/>
    <s v="New York"/>
    <s v="Paris"/>
    <x v="1"/>
    <n v="30000"/>
    <n v="34.309175733896097"/>
    <n v="-20.392729732084"/>
    <n v="2847"/>
    <n v="354"/>
    <n v="122"/>
    <x v="13"/>
    <x v="22"/>
  </r>
  <r>
    <s v="FL1636"/>
    <s v="New York"/>
    <s v="Paris"/>
    <x v="1"/>
    <n v="30000"/>
    <n v="-84.731390306871404"/>
    <n v="-80.792962988328398"/>
    <n v="2847"/>
    <n v="354"/>
    <n v="122"/>
    <x v="13"/>
    <x v="22"/>
  </r>
  <r>
    <s v="FL1637"/>
    <s v="Miami"/>
    <s v="Tokyo"/>
    <x v="3"/>
    <n v="30000"/>
    <n v="58.3088201257927"/>
    <n v="-18.3971806327623"/>
    <n v="2000"/>
    <n v="397"/>
    <n v="150"/>
    <x v="1"/>
    <x v="29"/>
  </r>
  <r>
    <s v="FL1638"/>
    <s v="Houston"/>
    <s v="London"/>
    <x v="2"/>
    <n v="30000"/>
    <n v="113.37830227459401"/>
    <n v="2.10734048064616"/>
    <n v="3500"/>
    <n v="600"/>
    <n v="50"/>
    <x v="8"/>
    <x v="46"/>
  </r>
  <r>
    <s v="FL1639"/>
    <s v="Miami"/>
    <s v="Dubai"/>
    <x v="6"/>
    <n v="35000"/>
    <n v="100.089087532075"/>
    <n v="-3.00702870606146"/>
    <n v="2500"/>
    <n v="402"/>
    <n v="200"/>
    <x v="21"/>
    <x v="27"/>
  </r>
  <r>
    <s v="FL1640"/>
    <s v="Houston"/>
    <s v="Sydney"/>
    <x v="4"/>
    <n v="35000"/>
    <n v="93.906479135081398"/>
    <n v="-21.098861927452699"/>
    <n v="2000"/>
    <n v="150"/>
    <n v="100"/>
    <x v="12"/>
    <x v="48"/>
  </r>
  <r>
    <s v="FL1641"/>
    <s v="Miami"/>
    <s v="Dubai"/>
    <x v="1"/>
    <n v="32000"/>
    <n v="-112.419933950789"/>
    <n v="61.046389452735397"/>
    <n v="2700"/>
    <n v="300"/>
    <n v="100"/>
    <x v="21"/>
    <x v="20"/>
  </r>
  <r>
    <s v="FL1642"/>
    <s v="Miami"/>
    <s v="Dubai"/>
    <x v="1"/>
    <n v="30000"/>
    <n v="-148.181419085573"/>
    <n v="-63.8411953643093"/>
    <n v="3000"/>
    <n v="600"/>
    <n v="150"/>
    <x v="21"/>
    <x v="13"/>
  </r>
  <r>
    <s v="FL1643"/>
    <s v="Chicago"/>
    <s v="London"/>
    <x v="1"/>
    <n v="30000"/>
    <n v="71.6215782554588"/>
    <n v="1.0254138806473201"/>
    <n v="2678"/>
    <n v="374"/>
    <n v="116"/>
    <x v="6"/>
    <x v="6"/>
  </r>
  <r>
    <s v="FL1644"/>
    <s v="Miami"/>
    <s v="London"/>
    <x v="2"/>
    <n v="30000"/>
    <n v="-47.3950030340335"/>
    <n v="-78.832544947820196"/>
    <n v="2615"/>
    <n v="374"/>
    <n v="121"/>
    <x v="14"/>
    <x v="9"/>
  </r>
  <r>
    <s v="FL1645"/>
    <s v="Los Angeles"/>
    <s v="London"/>
    <x v="6"/>
    <n v="30000"/>
    <n v="-24.355358494794999"/>
    <n v="-77.191977801976293"/>
    <n v="3500"/>
    <n v="600"/>
    <n v="100"/>
    <x v="10"/>
    <x v="26"/>
  </r>
  <r>
    <s v="FL1646"/>
    <s v="Chicago"/>
    <s v="Paris"/>
    <x v="0"/>
    <n v="35000"/>
    <n v="-168.78632659437901"/>
    <n v="13.2958529418773"/>
    <n v="3000"/>
    <n v="600"/>
    <n v="100"/>
    <x v="5"/>
    <x v="24"/>
  </r>
  <r>
    <s v="FL1647"/>
    <s v="Miami"/>
    <s v="Tokyo"/>
    <x v="4"/>
    <n v="32000"/>
    <n v="-86.552478260982298"/>
    <n v="11.883316479807799"/>
    <n v="2000"/>
    <n v="397"/>
    <n v="100"/>
    <x v="1"/>
    <x v="45"/>
  </r>
  <r>
    <s v="FL1648"/>
    <s v="New York"/>
    <s v="Paris"/>
    <x v="1"/>
    <n v="32000"/>
    <n v="-167.87649460519299"/>
    <n v="68.046032312002197"/>
    <n v="2500"/>
    <n v="354"/>
    <n v="200"/>
    <x v="13"/>
    <x v="22"/>
  </r>
  <r>
    <s v="FL1649"/>
    <s v="Los Angeles"/>
    <s v="Tokyo"/>
    <x v="0"/>
    <n v="30000"/>
    <n v="136.50687813644899"/>
    <n v="10.4172616188132"/>
    <n v="2586"/>
    <n v="397"/>
    <n v="119"/>
    <x v="23"/>
    <x v="0"/>
  </r>
  <r>
    <s v="FL1650"/>
    <s v="Los Angeles"/>
    <s v="Tokyo"/>
    <x v="0"/>
    <n v="30000"/>
    <n v="-92.377194041329005"/>
    <n v="82.762383672873"/>
    <n v="2586"/>
    <n v="397"/>
    <n v="119"/>
    <x v="23"/>
    <x v="0"/>
  </r>
  <r>
    <s v="FL1651"/>
    <s v="Los Angeles"/>
    <s v="Dubai"/>
    <x v="3"/>
    <n v="32000"/>
    <n v="20.641381046282898"/>
    <n v="-81.234927288012599"/>
    <n v="3500"/>
    <n v="600"/>
    <n v="100"/>
    <x v="22"/>
    <x v="50"/>
  </r>
  <r>
    <s v="FL1652"/>
    <s v="Chicago"/>
    <s v="Dubai"/>
    <x v="0"/>
    <n v="30000"/>
    <n v="-165.96744456199301"/>
    <n v="-72.358616739466598"/>
    <n v="2636"/>
    <n v="402"/>
    <n v="114"/>
    <x v="9"/>
    <x v="42"/>
  </r>
  <r>
    <s v="FL1653"/>
    <s v="Miami"/>
    <s v="Tokyo"/>
    <x v="6"/>
    <n v="32000"/>
    <n v="60.065060870036902"/>
    <n v="-82.068144917331395"/>
    <n v="3500"/>
    <n v="300"/>
    <n v="126"/>
    <x v="1"/>
    <x v="37"/>
  </r>
  <r>
    <s v="FL1654"/>
    <s v="Miami"/>
    <s v="Tokyo"/>
    <x v="5"/>
    <n v="32000"/>
    <n v="-63.710155528526201"/>
    <n v="-56.650166939962801"/>
    <n v="2729"/>
    <n v="300"/>
    <n v="200"/>
    <x v="1"/>
    <x v="24"/>
  </r>
  <r>
    <s v="FL1655"/>
    <s v="New York"/>
    <s v="Paris"/>
    <x v="1"/>
    <n v="30000"/>
    <n v="143.25090730476001"/>
    <n v="7.4286199695020496"/>
    <n v="2847"/>
    <n v="354"/>
    <n v="122"/>
    <x v="13"/>
    <x v="22"/>
  </r>
  <r>
    <s v="FL1656"/>
    <s v="New York"/>
    <s v="Paris"/>
    <x v="1"/>
    <n v="30000"/>
    <n v="139.722548016253"/>
    <n v="26.202992656936999"/>
    <n v="2847"/>
    <n v="354"/>
    <n v="122"/>
    <x v="13"/>
    <x v="22"/>
  </r>
  <r>
    <s v="FL1657"/>
    <s v="Los Angeles"/>
    <s v="Dubai"/>
    <x v="1"/>
    <n v="30000"/>
    <n v="-62.8953773897708"/>
    <n v="-81.794671569239597"/>
    <n v="2500"/>
    <n v="450"/>
    <n v="100"/>
    <x v="22"/>
    <x v="26"/>
  </r>
  <r>
    <s v="FL1658"/>
    <s v="New York"/>
    <s v="London"/>
    <x v="6"/>
    <n v="35000"/>
    <n v="144.34592244856799"/>
    <n v="80.274760172207905"/>
    <n v="2760"/>
    <n v="300"/>
    <n v="150"/>
    <x v="16"/>
    <x v="37"/>
  </r>
  <r>
    <s v="FL1659"/>
    <s v="Chicago"/>
    <s v="Tokyo"/>
    <x v="4"/>
    <n v="35000"/>
    <n v="178.61676245955999"/>
    <n v="61.589767797068603"/>
    <n v="3500"/>
    <n v="600"/>
    <n v="150"/>
    <x v="2"/>
    <x v="51"/>
  </r>
  <r>
    <s v="FL1660"/>
    <s v="Miami"/>
    <s v="Paris"/>
    <x v="2"/>
    <n v="30000"/>
    <n v="117.149639084621"/>
    <n v="-36.609753211723202"/>
    <n v="2718"/>
    <n v="354"/>
    <n v="115"/>
    <x v="7"/>
    <x v="8"/>
  </r>
  <r>
    <s v="FL1661"/>
    <s v="Los Angeles"/>
    <s v="Dubai"/>
    <x v="1"/>
    <n v="32000"/>
    <n v="124.153685191883"/>
    <n v="-76.106244559235805"/>
    <n v="2794"/>
    <n v="402"/>
    <n v="113"/>
    <x v="22"/>
    <x v="34"/>
  </r>
  <r>
    <s v="FL1662"/>
    <s v="New York"/>
    <s v="Paris"/>
    <x v="1"/>
    <n v="30000"/>
    <n v="-90.356855000727606"/>
    <n v="-59.420326820569699"/>
    <n v="2847"/>
    <n v="354"/>
    <n v="122"/>
    <x v="13"/>
    <x v="22"/>
  </r>
  <r>
    <s v="FL1663"/>
    <s v="Chicago"/>
    <s v="Tokyo"/>
    <x v="3"/>
    <n v="35000"/>
    <n v="27.612863588792301"/>
    <n v="-67.150005524104898"/>
    <n v="2000"/>
    <n v="300"/>
    <n v="200"/>
    <x v="2"/>
    <x v="36"/>
  </r>
  <r>
    <s v="FL1664"/>
    <s v="Chicago"/>
    <s v="Tokyo"/>
    <x v="2"/>
    <n v="30000"/>
    <n v="-155.78787097174799"/>
    <n v="-67.8089197261896"/>
    <n v="2583"/>
    <n v="397"/>
    <n v="133"/>
    <x v="2"/>
    <x v="2"/>
  </r>
  <r>
    <s v="FL1665"/>
    <s v="New York"/>
    <s v="Sydney"/>
    <x v="4"/>
    <n v="35000"/>
    <n v="-145.82954274419899"/>
    <n v="3.3411039598321102"/>
    <n v="2800"/>
    <n v="150"/>
    <n v="120"/>
    <x v="15"/>
    <x v="48"/>
  </r>
  <r>
    <s v="FL1666"/>
    <s v="Miami"/>
    <s v="London"/>
    <x v="5"/>
    <n v="32000"/>
    <n v="179.601340331985"/>
    <n v="-45.747460351187897"/>
    <n v="2615"/>
    <n v="300"/>
    <n v="100"/>
    <x v="14"/>
    <x v="24"/>
  </r>
  <r>
    <s v="FL1667"/>
    <s v="New York"/>
    <s v="Sydney"/>
    <x v="1"/>
    <n v="30000"/>
    <n v="-62.409870206672103"/>
    <n v="-25.534851024754001"/>
    <n v="3000"/>
    <n v="600"/>
    <n v="50"/>
    <x v="15"/>
    <x v="13"/>
  </r>
  <r>
    <s v="FL1668"/>
    <s v="Los Angeles"/>
    <s v="Dubai"/>
    <x v="7"/>
    <n v="30000"/>
    <n v="89.346208337584699"/>
    <n v="88.110960009178001"/>
    <n v="2794"/>
    <n v="402"/>
    <n v="113"/>
    <x v="22"/>
    <x v="23"/>
  </r>
  <r>
    <s v="FL1669"/>
    <s v="New York"/>
    <s v="Paris"/>
    <x v="4"/>
    <n v="35000"/>
    <n v="110.399419089654"/>
    <n v="33.176564806562098"/>
    <n v="2500"/>
    <n v="354"/>
    <n v="100"/>
    <x v="13"/>
    <x v="21"/>
  </r>
  <r>
    <s v="FL1670"/>
    <s v="Chicago"/>
    <s v="Dubai"/>
    <x v="0"/>
    <n v="30000"/>
    <n v="128.88837756260301"/>
    <n v="80.816520068460306"/>
    <n v="2636"/>
    <n v="402"/>
    <n v="114"/>
    <x v="9"/>
    <x v="42"/>
  </r>
  <r>
    <s v="FL1671"/>
    <s v="New York"/>
    <s v="Tokyo"/>
    <x v="6"/>
    <n v="32000"/>
    <n v="179.146187064776"/>
    <n v="-64.339820094039197"/>
    <n v="3500"/>
    <n v="450"/>
    <n v="100"/>
    <x v="24"/>
    <x v="28"/>
  </r>
  <r>
    <s v="FL1672"/>
    <s v="Miami"/>
    <s v="Sydney"/>
    <x v="3"/>
    <n v="30000"/>
    <n v="-93.061265307527606"/>
    <n v="-21.214894530137499"/>
    <n v="3500"/>
    <n v="300"/>
    <n v="50"/>
    <x v="3"/>
    <x v="36"/>
  </r>
  <r>
    <s v="FL1673"/>
    <s v="Houston"/>
    <s v="Sydney"/>
    <x v="4"/>
    <n v="35000"/>
    <n v="-165.47370233050799"/>
    <n v="9.8517245908237605"/>
    <n v="3500"/>
    <n v="300"/>
    <n v="150"/>
    <x v="12"/>
    <x v="12"/>
  </r>
  <r>
    <s v="FL1674"/>
    <s v="New York"/>
    <s v="Sydney"/>
    <x v="4"/>
    <n v="30000"/>
    <n v="-31.971053521948999"/>
    <n v="-76.183548860027201"/>
    <n v="3000"/>
    <n v="356"/>
    <n v="100"/>
    <x v="15"/>
    <x v="43"/>
  </r>
  <r>
    <s v="FL1675"/>
    <s v="Miami"/>
    <s v="Dubai"/>
    <x v="6"/>
    <n v="35000"/>
    <n v="-133.17095886157901"/>
    <n v="-89.2462601469676"/>
    <n v="2700"/>
    <n v="402"/>
    <n v="200"/>
    <x v="21"/>
    <x v="27"/>
  </r>
  <r>
    <s v="FL1676"/>
    <s v="Miami"/>
    <s v="Tokyo"/>
    <x v="1"/>
    <n v="30000"/>
    <n v="-171.92667990166001"/>
    <n v="30.678180083445199"/>
    <n v="3500"/>
    <n v="150"/>
    <n v="126"/>
    <x v="1"/>
    <x v="10"/>
  </r>
  <r>
    <s v="FL1677"/>
    <s v="Chicago"/>
    <s v="Paris"/>
    <x v="0"/>
    <n v="30000"/>
    <n v="-50.246342229065"/>
    <n v="25.527513024258401"/>
    <n v="2928"/>
    <n v="354"/>
    <n v="121"/>
    <x v="5"/>
    <x v="5"/>
  </r>
  <r>
    <s v="FL1678"/>
    <s v="Miami"/>
    <s v="Paris"/>
    <x v="2"/>
    <n v="30000"/>
    <n v="102.14577038708499"/>
    <n v="-16.058014200069898"/>
    <n v="2718"/>
    <n v="354"/>
    <n v="115"/>
    <x v="7"/>
    <x v="8"/>
  </r>
  <r>
    <s v="FL1679"/>
    <s v="Miami"/>
    <s v="Dubai"/>
    <x v="1"/>
    <n v="30000"/>
    <n v="23.825048841025499"/>
    <n v="-1.8640663142341201"/>
    <n v="2700"/>
    <n v="402"/>
    <n v="128"/>
    <x v="21"/>
    <x v="34"/>
  </r>
  <r>
    <s v="FL1680"/>
    <s v="Miami"/>
    <s v="Sydney"/>
    <x v="3"/>
    <n v="30000"/>
    <n v="-67.399923884272496"/>
    <n v="-15.220259893423901"/>
    <n v="3500"/>
    <n v="150"/>
    <n v="50"/>
    <x v="3"/>
    <x v="15"/>
  </r>
  <r>
    <s v="FL1681"/>
    <s v="Miami"/>
    <s v="London"/>
    <x v="4"/>
    <n v="30000"/>
    <n v="55.563121977379097"/>
    <n v="-85.679091927919998"/>
    <n v="3000"/>
    <n v="150"/>
    <n v="150"/>
    <x v="14"/>
    <x v="48"/>
  </r>
  <r>
    <s v="FL1682"/>
    <s v="Los Angeles"/>
    <s v="Dubai"/>
    <x v="3"/>
    <n v="30000"/>
    <n v="-96.473455088828103"/>
    <n v="-29.633110880856801"/>
    <n v="2500"/>
    <n v="450"/>
    <n v="113"/>
    <x v="22"/>
    <x v="11"/>
  </r>
  <r>
    <s v="FL1683"/>
    <s v="Los Angeles"/>
    <s v="Dubai"/>
    <x v="1"/>
    <n v="35000"/>
    <n v="-174.82267941404899"/>
    <n v="-58.125194028487797"/>
    <n v="2500"/>
    <n v="150"/>
    <n v="150"/>
    <x v="22"/>
    <x v="10"/>
  </r>
  <r>
    <s v="FL1684"/>
    <s v="Chicago"/>
    <s v="Tokyo"/>
    <x v="4"/>
    <n v="30000"/>
    <n v="95.167219117113902"/>
    <n v="-72.283645961753606"/>
    <n v="2583"/>
    <n v="300"/>
    <n v="50"/>
    <x v="2"/>
    <x v="12"/>
  </r>
  <r>
    <s v="FL1685"/>
    <s v="New York"/>
    <s v="Paris"/>
    <x v="3"/>
    <n v="35000"/>
    <n v="44.547510551043302"/>
    <n v="82.209678100082996"/>
    <n v="2500"/>
    <n v="354"/>
    <n v="122"/>
    <x v="13"/>
    <x v="57"/>
  </r>
  <r>
    <s v="FL1686"/>
    <s v="Miami"/>
    <s v="Dubai"/>
    <x v="5"/>
    <n v="30000"/>
    <n v="94.428944820345606"/>
    <n v="17.8847505075898"/>
    <n v="2500"/>
    <n v="600"/>
    <n v="150"/>
    <x v="21"/>
    <x v="33"/>
  </r>
  <r>
    <s v="FL1687"/>
    <s v="New York"/>
    <s v="Dubai"/>
    <x v="7"/>
    <n v="30000"/>
    <n v="-165.98231399244"/>
    <n v="41.158131162588496"/>
    <n v="2588"/>
    <n v="402"/>
    <n v="134"/>
    <x v="20"/>
    <x v="23"/>
  </r>
  <r>
    <s v="FL1688"/>
    <s v="New York"/>
    <s v="Sydney"/>
    <x v="1"/>
    <n v="32000"/>
    <n v="121.363066019035"/>
    <n v="-33.2345262120988"/>
    <n v="2800"/>
    <n v="356"/>
    <n v="150"/>
    <x v="15"/>
    <x v="14"/>
  </r>
  <r>
    <s v="FL1689"/>
    <s v="Chicago"/>
    <s v="Sydney"/>
    <x v="1"/>
    <n v="30000"/>
    <n v="43.029432013069197"/>
    <n v="-19.233516691077298"/>
    <n v="2678"/>
    <n v="356"/>
    <n v="137"/>
    <x v="17"/>
    <x v="14"/>
  </r>
  <r>
    <s v="FL1690"/>
    <s v="Miami"/>
    <s v="London"/>
    <x v="3"/>
    <n v="30000"/>
    <n v="22.822326256550401"/>
    <n v="-47.353681098589803"/>
    <n v="2500"/>
    <n v="300"/>
    <n v="50"/>
    <x v="14"/>
    <x v="36"/>
  </r>
  <r>
    <s v="FL1691"/>
    <s v="Miami"/>
    <s v="Tokyo"/>
    <x v="6"/>
    <n v="35000"/>
    <n v="44.861057321231399"/>
    <n v="-72.546179226223501"/>
    <n v="2500"/>
    <n v="150"/>
    <n v="150"/>
    <x v="1"/>
    <x v="32"/>
  </r>
  <r>
    <s v="FL1692"/>
    <s v="Houston"/>
    <s v="London"/>
    <x v="2"/>
    <n v="30000"/>
    <n v="131.19596887261099"/>
    <n v="-57.7743052605149"/>
    <n v="2846"/>
    <n v="374"/>
    <n v="138"/>
    <x v="8"/>
    <x v="9"/>
  </r>
  <r>
    <s v="FL1693"/>
    <s v="New York"/>
    <s v="Sydney"/>
    <x v="3"/>
    <n v="30000"/>
    <n v="31.2971423612065"/>
    <n v="53.552528153367497"/>
    <n v="3000"/>
    <n v="150"/>
    <n v="100"/>
    <x v="15"/>
    <x v="15"/>
  </r>
  <r>
    <s v="FL1694"/>
    <s v="New York"/>
    <s v="Paris"/>
    <x v="5"/>
    <n v="32000"/>
    <n v="29.142136759744499"/>
    <n v="31.958244933079701"/>
    <n v="3500"/>
    <n v="150"/>
    <n v="50"/>
    <x v="13"/>
    <x v="11"/>
  </r>
  <r>
    <s v="FL1695"/>
    <s v="Los Angeles"/>
    <s v="Sydney"/>
    <x v="2"/>
    <n v="30000"/>
    <n v="176.64449654367601"/>
    <n v="8.4471976773858408"/>
    <n v="3000"/>
    <n v="356"/>
    <n v="145"/>
    <x v="4"/>
    <x v="4"/>
  </r>
  <r>
    <s v="FL1696"/>
    <s v="Houston"/>
    <s v="Tokyo"/>
    <x v="0"/>
    <n v="30000"/>
    <n v="92.422860144684506"/>
    <n v="-4.4838228839817402"/>
    <n v="2550"/>
    <n v="397"/>
    <n v="120"/>
    <x v="0"/>
    <x v="0"/>
  </r>
  <r>
    <s v="FL1697"/>
    <s v="Los Angeles"/>
    <s v="Sydney"/>
    <x v="2"/>
    <n v="30000"/>
    <n v="-20.774230037591298"/>
    <n v="76.038171058102407"/>
    <n v="3000"/>
    <n v="356"/>
    <n v="145"/>
    <x v="4"/>
    <x v="4"/>
  </r>
  <r>
    <s v="FL1698"/>
    <s v="Los Angeles"/>
    <s v="Tokyo"/>
    <x v="6"/>
    <n v="30000"/>
    <n v="74.662920011853998"/>
    <n v="-76.907709399839703"/>
    <n v="3500"/>
    <n v="450"/>
    <n v="100"/>
    <x v="23"/>
    <x v="28"/>
  </r>
  <r>
    <s v="FL1699"/>
    <s v="Los Angeles"/>
    <s v="Tokyo"/>
    <x v="4"/>
    <n v="32000"/>
    <n v="-39.877030190956098"/>
    <n v="-39.491853617175103"/>
    <n v="2000"/>
    <n v="450"/>
    <n v="100"/>
    <x v="23"/>
    <x v="30"/>
  </r>
  <r>
    <s v="FL1700"/>
    <s v="Chicago"/>
    <s v="Tokyo"/>
    <x v="5"/>
    <n v="30000"/>
    <n v="-97.604833505940405"/>
    <n v="-27.011186357271502"/>
    <n v="2583"/>
    <n v="397"/>
    <n v="50"/>
    <x v="2"/>
    <x v="17"/>
  </r>
  <r>
    <s v="FL1701"/>
    <s v="Chicago"/>
    <s v="Tokyo"/>
    <x v="2"/>
    <n v="30000"/>
    <n v="34.866675679593399"/>
    <n v="50.8366461983018"/>
    <n v="2583"/>
    <n v="300"/>
    <n v="200"/>
    <x v="2"/>
    <x v="28"/>
  </r>
  <r>
    <s v="FL1702"/>
    <s v="Los Angeles"/>
    <s v="Tokyo"/>
    <x v="5"/>
    <n v="30000"/>
    <n v="154.14555532102199"/>
    <n v="88.652631629154897"/>
    <n v="2000"/>
    <n v="600"/>
    <n v="119"/>
    <x v="23"/>
    <x v="33"/>
  </r>
  <r>
    <s v="FL1703"/>
    <s v="Houston"/>
    <s v="Paris"/>
    <x v="1"/>
    <n v="30000"/>
    <n v="154.49022720556701"/>
    <n v="-46.679307343712502"/>
    <n v="2647"/>
    <n v="354"/>
    <n v="113"/>
    <x v="19"/>
    <x v="22"/>
  </r>
  <r>
    <s v="FL1704"/>
    <s v="New York"/>
    <s v="London"/>
    <x v="3"/>
    <n v="32000"/>
    <n v="-56.9140998820235"/>
    <n v="67.375320144674504"/>
    <n v="2000"/>
    <n v="600"/>
    <n v="50"/>
    <x v="16"/>
    <x v="50"/>
  </r>
  <r>
    <s v="FL1705"/>
    <s v="Houston"/>
    <s v="Dubai"/>
    <x v="2"/>
    <n v="30000"/>
    <n v="9.9638878398101802"/>
    <n v="59.512096877722399"/>
    <n v="2500"/>
    <n v="402"/>
    <n v="111"/>
    <x v="11"/>
    <x v="19"/>
  </r>
  <r>
    <s v="FL1706"/>
    <s v="Miami"/>
    <s v="London"/>
    <x v="2"/>
    <n v="30000"/>
    <n v="-103.81107651485"/>
    <n v="-49.561668424482001"/>
    <n v="2615"/>
    <n v="374"/>
    <n v="121"/>
    <x v="14"/>
    <x v="9"/>
  </r>
  <r>
    <s v="FL1707"/>
    <s v="Chicago"/>
    <s v="Tokyo"/>
    <x v="2"/>
    <n v="30000"/>
    <n v="178.427199419598"/>
    <n v="-18.1201355641399"/>
    <n v="2583"/>
    <n v="397"/>
    <n v="133"/>
    <x v="2"/>
    <x v="2"/>
  </r>
  <r>
    <s v="FL1708"/>
    <s v="New York"/>
    <s v="Paris"/>
    <x v="1"/>
    <n v="30000"/>
    <n v="173.20244683245701"/>
    <n v="-16.258883527346601"/>
    <n v="2847"/>
    <n v="354"/>
    <n v="122"/>
    <x v="13"/>
    <x v="22"/>
  </r>
  <r>
    <s v="FL1709"/>
    <s v="New York"/>
    <s v="Sydney"/>
    <x v="1"/>
    <n v="30000"/>
    <n v="53.823214694680999"/>
    <n v="86.079720334780504"/>
    <n v="2800"/>
    <n v="450"/>
    <n v="50"/>
    <x v="15"/>
    <x v="26"/>
  </r>
  <r>
    <s v="FL1710"/>
    <s v="Miami"/>
    <s v="Paris"/>
    <x v="5"/>
    <n v="30000"/>
    <n v="109.58906148389001"/>
    <n v="-57.439457751798301"/>
    <n v="3000"/>
    <n v="300"/>
    <n v="100"/>
    <x v="7"/>
    <x v="24"/>
  </r>
  <r>
    <s v="FL1711"/>
    <s v="Miami"/>
    <s v="Tokyo"/>
    <x v="1"/>
    <n v="30000"/>
    <n v="77.436058062132005"/>
    <n v="53.848434798860801"/>
    <n v="2729"/>
    <n v="397"/>
    <n v="126"/>
    <x v="1"/>
    <x v="1"/>
  </r>
  <r>
    <s v="FL1712"/>
    <s v="Los Angeles"/>
    <s v="Paris"/>
    <x v="5"/>
    <n v="32000"/>
    <n v="33.5369588542085"/>
    <n v="-29.845311448840199"/>
    <n v="3500"/>
    <n v="354"/>
    <n v="200"/>
    <x v="18"/>
    <x v="25"/>
  </r>
  <r>
    <s v="FL1713"/>
    <s v="Chicago"/>
    <s v="Paris"/>
    <x v="0"/>
    <n v="30000"/>
    <n v="-160.79472108399699"/>
    <n v="41.556662239708899"/>
    <n v="2928"/>
    <n v="354"/>
    <n v="121"/>
    <x v="5"/>
    <x v="5"/>
  </r>
  <r>
    <s v="FL1714"/>
    <s v="Chicago"/>
    <s v="Tokyo"/>
    <x v="2"/>
    <n v="30000"/>
    <n v="-16.284836681042002"/>
    <n v="-14.398019226780701"/>
    <n v="2583"/>
    <n v="397"/>
    <n v="133"/>
    <x v="2"/>
    <x v="2"/>
  </r>
  <r>
    <s v="FL1715"/>
    <s v="Houston"/>
    <s v="Paris"/>
    <x v="1"/>
    <n v="30000"/>
    <n v="62.923068780267798"/>
    <n v="14.104757360977199"/>
    <n v="2647"/>
    <n v="300"/>
    <n v="50"/>
    <x v="19"/>
    <x v="20"/>
  </r>
  <r>
    <s v="FL1716"/>
    <s v="Los Angeles"/>
    <s v="Dubai"/>
    <x v="7"/>
    <n v="30000"/>
    <n v="63.911380998126504"/>
    <n v="59.870119198703598"/>
    <n v="2794"/>
    <n v="402"/>
    <n v="113"/>
    <x v="22"/>
    <x v="23"/>
  </r>
  <r>
    <s v="FL1717"/>
    <s v="Los Angeles"/>
    <s v="Dubai"/>
    <x v="7"/>
    <n v="30000"/>
    <n v="-45.675857367941902"/>
    <n v="54.749801697099102"/>
    <n v="2794"/>
    <n v="402"/>
    <n v="113"/>
    <x v="22"/>
    <x v="23"/>
  </r>
  <r>
    <s v="FL1718"/>
    <s v="Los Angeles"/>
    <s v="Paris"/>
    <x v="4"/>
    <n v="35000"/>
    <n v="159.009115196891"/>
    <n v="65.956173037146002"/>
    <n v="3000"/>
    <n v="150"/>
    <n v="200"/>
    <x v="18"/>
    <x v="48"/>
  </r>
  <r>
    <s v="FL1719"/>
    <s v="Los Angeles"/>
    <s v="Sydney"/>
    <x v="5"/>
    <n v="30000"/>
    <n v="-119.751468394759"/>
    <n v="-79.268881437961397"/>
    <n v="2000"/>
    <n v="356"/>
    <n v="150"/>
    <x v="4"/>
    <x v="58"/>
  </r>
  <r>
    <s v="FL1720"/>
    <s v="Chicago"/>
    <s v="Tokyo"/>
    <x v="4"/>
    <n v="32000"/>
    <n v="0.12940063760183301"/>
    <n v="34.569099547154103"/>
    <n v="3500"/>
    <n v="300"/>
    <n v="100"/>
    <x v="2"/>
    <x v="12"/>
  </r>
  <r>
    <s v="FL1721"/>
    <s v="Chicago"/>
    <s v="Dubai"/>
    <x v="0"/>
    <n v="30000"/>
    <n v="68.718231558296196"/>
    <n v="-64.802272190082704"/>
    <n v="2636"/>
    <n v="402"/>
    <n v="114"/>
    <x v="9"/>
    <x v="42"/>
  </r>
  <r>
    <s v="FL1722"/>
    <s v="Los Angeles"/>
    <s v="Sydney"/>
    <x v="2"/>
    <n v="30000"/>
    <n v="70.968890121051302"/>
    <n v="-15.152657756686001"/>
    <n v="3000"/>
    <n v="356"/>
    <n v="145"/>
    <x v="4"/>
    <x v="4"/>
  </r>
  <r>
    <s v="FL1723"/>
    <s v="Houston"/>
    <s v="Paris"/>
    <x v="4"/>
    <n v="35000"/>
    <n v="53.510024436773598"/>
    <n v="8.7459147098439303"/>
    <n v="2500"/>
    <n v="150"/>
    <n v="113"/>
    <x v="19"/>
    <x v="48"/>
  </r>
  <r>
    <s v="FL1724"/>
    <s v="New York"/>
    <s v="Sydney"/>
    <x v="1"/>
    <n v="32000"/>
    <n v="-80.896243157330304"/>
    <n v="-17.5068927455705"/>
    <n v="2000"/>
    <n v="150"/>
    <n v="50"/>
    <x v="15"/>
    <x v="10"/>
  </r>
  <r>
    <s v="FL1725"/>
    <s v="New York"/>
    <s v="London"/>
    <x v="5"/>
    <n v="32000"/>
    <n v="-123.765635272816"/>
    <n v="3.5301016445413498"/>
    <n v="2000"/>
    <n v="450"/>
    <n v="150"/>
    <x v="16"/>
    <x v="16"/>
  </r>
  <r>
    <s v="FL1726"/>
    <s v="Houston"/>
    <s v="Dubai"/>
    <x v="4"/>
    <n v="32000"/>
    <n v="48.938517657615897"/>
    <n v="89.374735583751502"/>
    <n v="2500"/>
    <n v="600"/>
    <n v="100"/>
    <x v="11"/>
    <x v="51"/>
  </r>
  <r>
    <s v="FL1727"/>
    <s v="Los Angeles"/>
    <s v="Paris"/>
    <x v="4"/>
    <n v="30000"/>
    <n v="35.7487618101976"/>
    <n v="-65.660883531686196"/>
    <n v="3000"/>
    <n v="150"/>
    <n v="150"/>
    <x v="18"/>
    <x v="48"/>
  </r>
  <r>
    <s v="FL1728"/>
    <s v="Chicago"/>
    <s v="Tokyo"/>
    <x v="2"/>
    <n v="30000"/>
    <n v="-115.431836295873"/>
    <n v="31.582088160556602"/>
    <n v="2583"/>
    <n v="397"/>
    <n v="133"/>
    <x v="2"/>
    <x v="2"/>
  </r>
  <r>
    <s v="FL1729"/>
    <s v="New York"/>
    <s v="Paris"/>
    <x v="1"/>
    <n v="35000"/>
    <n v="73.850092405402805"/>
    <n v="-18.719826050589301"/>
    <n v="3500"/>
    <n v="150"/>
    <n v="50"/>
    <x v="13"/>
    <x v="10"/>
  </r>
  <r>
    <s v="FL1730"/>
    <s v="Miami"/>
    <s v="Tokyo"/>
    <x v="3"/>
    <n v="35000"/>
    <n v="-16.138082975883702"/>
    <n v="-66.058236196680795"/>
    <n v="3500"/>
    <n v="600"/>
    <n v="150"/>
    <x v="1"/>
    <x v="50"/>
  </r>
  <r>
    <s v="FL1731"/>
    <s v="Miami"/>
    <s v="Paris"/>
    <x v="2"/>
    <n v="30000"/>
    <n v="60.393812977134999"/>
    <n v="-61.427382592624298"/>
    <n v="2718"/>
    <n v="354"/>
    <n v="115"/>
    <x v="7"/>
    <x v="8"/>
  </r>
  <r>
    <s v="FL1732"/>
    <s v="Houston"/>
    <s v="Sydney"/>
    <x v="6"/>
    <n v="30000"/>
    <n v="121.452148717254"/>
    <n v="80.869159124211095"/>
    <n v="2000"/>
    <n v="356"/>
    <n v="100"/>
    <x v="12"/>
    <x v="44"/>
  </r>
  <r>
    <s v="FL1733"/>
    <s v="Los Angeles"/>
    <s v="Sydney"/>
    <x v="2"/>
    <n v="30000"/>
    <n v="-118.897765712308"/>
    <n v="68.328269408117194"/>
    <n v="3500"/>
    <n v="450"/>
    <n v="200"/>
    <x v="4"/>
    <x v="7"/>
  </r>
  <r>
    <s v="FL1734"/>
    <s v="New York"/>
    <s v="Sydney"/>
    <x v="1"/>
    <n v="30000"/>
    <n v="-173.10784752113901"/>
    <n v="73.267552874703895"/>
    <n v="2800"/>
    <n v="356"/>
    <n v="120"/>
    <x v="15"/>
    <x v="14"/>
  </r>
  <r>
    <s v="FL1735"/>
    <s v="Los Angeles"/>
    <s v="London"/>
    <x v="1"/>
    <n v="30000"/>
    <n v="100.47693110248299"/>
    <n v="88.475899648929598"/>
    <n v="2760"/>
    <n v="150"/>
    <n v="50"/>
    <x v="10"/>
    <x v="10"/>
  </r>
  <r>
    <s v="FL1736"/>
    <s v="New York"/>
    <s v="Tokyo"/>
    <x v="4"/>
    <n v="35000"/>
    <n v="39.491073054941801"/>
    <n v="-52.503229798466798"/>
    <n v="2500"/>
    <n v="150"/>
    <n v="100"/>
    <x v="24"/>
    <x v="48"/>
  </r>
  <r>
    <s v="FL1737"/>
    <s v="Houston"/>
    <s v="Sydney"/>
    <x v="1"/>
    <n v="30000"/>
    <n v="71.870245063963793"/>
    <n v="-26.020919274468898"/>
    <n v="2500"/>
    <n v="356"/>
    <n v="127"/>
    <x v="12"/>
    <x v="14"/>
  </r>
  <r>
    <s v="FL1738"/>
    <s v="Houston"/>
    <s v="London"/>
    <x v="1"/>
    <n v="32000"/>
    <n v="121.735790995911"/>
    <n v="30.459425386475999"/>
    <n v="2846"/>
    <n v="374"/>
    <n v="100"/>
    <x v="8"/>
    <x v="6"/>
  </r>
  <r>
    <s v="FL1739"/>
    <s v="Miami"/>
    <s v="Tokyo"/>
    <x v="5"/>
    <n v="30000"/>
    <n v="109.01193653682"/>
    <n v="-2.9155428250834898"/>
    <n v="3000"/>
    <n v="300"/>
    <n v="100"/>
    <x v="1"/>
    <x v="24"/>
  </r>
  <r>
    <s v="FL1740"/>
    <s v="Los Angeles"/>
    <s v="Paris"/>
    <x v="2"/>
    <n v="30000"/>
    <n v="165.931252894377"/>
    <n v="-14.6898839919"/>
    <n v="2882"/>
    <n v="354"/>
    <n v="125"/>
    <x v="18"/>
    <x v="8"/>
  </r>
  <r>
    <s v="FL1741"/>
    <s v="Miami"/>
    <s v="London"/>
    <x v="2"/>
    <n v="30000"/>
    <n v="12.9366283867625"/>
    <n v="-25.5939751195932"/>
    <n v="2615"/>
    <n v="374"/>
    <n v="121"/>
    <x v="14"/>
    <x v="9"/>
  </r>
  <r>
    <s v="FL1742"/>
    <s v="Los Angeles"/>
    <s v="Dubai"/>
    <x v="4"/>
    <n v="30000"/>
    <n v="-4.14157224243408"/>
    <n v="16.8805137498214"/>
    <n v="2794"/>
    <n v="150"/>
    <n v="150"/>
    <x v="22"/>
    <x v="48"/>
  </r>
  <r>
    <s v="FL1743"/>
    <s v="Miami"/>
    <s v="London"/>
    <x v="6"/>
    <n v="32000"/>
    <n v="-35.320608039337202"/>
    <n v="13.606817155214801"/>
    <n v="3000"/>
    <n v="300"/>
    <n v="200"/>
    <x v="14"/>
    <x v="37"/>
  </r>
  <r>
    <s v="FL1744"/>
    <s v="Chicago"/>
    <s v="London"/>
    <x v="1"/>
    <n v="32000"/>
    <n v="-124.671224576086"/>
    <n v="-60.937589868436802"/>
    <n v="2500"/>
    <n v="300"/>
    <n v="150"/>
    <x v="6"/>
    <x v="20"/>
  </r>
  <r>
    <s v="FL1745"/>
    <s v="Chicago"/>
    <s v="Tokyo"/>
    <x v="2"/>
    <n v="30000"/>
    <n v="26.138603837528098"/>
    <n v="-5.0868292466809599"/>
    <n v="2583"/>
    <n v="397"/>
    <n v="133"/>
    <x v="2"/>
    <x v="2"/>
  </r>
  <r>
    <s v="FL1746"/>
    <s v="Chicago"/>
    <s v="Paris"/>
    <x v="0"/>
    <n v="35000"/>
    <n v="-80.275491242647604"/>
    <n v="9.6249197177729808"/>
    <n v="3000"/>
    <n v="354"/>
    <n v="200"/>
    <x v="5"/>
    <x v="5"/>
  </r>
  <r>
    <s v="FL1747"/>
    <s v="Chicago"/>
    <s v="Dubai"/>
    <x v="3"/>
    <n v="30000"/>
    <n v="151.670704396671"/>
    <n v="12.6516489716503"/>
    <n v="2000"/>
    <n v="300"/>
    <n v="50"/>
    <x v="9"/>
    <x v="36"/>
  </r>
  <r>
    <s v="FL1748"/>
    <s v="New York"/>
    <s v="Sydney"/>
    <x v="1"/>
    <n v="32000"/>
    <n v="29.948689539755101"/>
    <n v="-52.180705275776702"/>
    <n v="3000"/>
    <n v="150"/>
    <n v="200"/>
    <x v="15"/>
    <x v="10"/>
  </r>
  <r>
    <s v="FL1749"/>
    <s v="Chicago"/>
    <s v="Sydney"/>
    <x v="1"/>
    <n v="30000"/>
    <n v="33.4224649829196"/>
    <n v="43.608850605411597"/>
    <n v="2678"/>
    <n v="356"/>
    <n v="137"/>
    <x v="17"/>
    <x v="14"/>
  </r>
  <r>
    <s v="FL1750"/>
    <s v="Houston"/>
    <s v="London"/>
    <x v="6"/>
    <n v="30000"/>
    <n v="-52.227122084276402"/>
    <n v="-85.4641629322075"/>
    <n v="2846"/>
    <n v="300"/>
    <n v="150"/>
    <x v="8"/>
    <x v="37"/>
  </r>
  <r>
    <s v="FL1751"/>
    <s v="Houston"/>
    <s v="Tokyo"/>
    <x v="0"/>
    <n v="32000"/>
    <n v="-161.28383328802499"/>
    <n v="-26.130266002230702"/>
    <n v="2550"/>
    <n v="397"/>
    <n v="50"/>
    <x v="0"/>
    <x v="0"/>
  </r>
  <r>
    <s v="FL1752"/>
    <s v="New York"/>
    <s v="Tokyo"/>
    <x v="1"/>
    <n v="30000"/>
    <n v="-168.572244465724"/>
    <n v="50.438276736413997"/>
    <n v="3500"/>
    <n v="450"/>
    <n v="128"/>
    <x v="24"/>
    <x v="26"/>
  </r>
  <r>
    <s v="FL1753"/>
    <s v="Chicago"/>
    <s v="Sydney"/>
    <x v="1"/>
    <n v="30000"/>
    <n v="-27.5993481048489"/>
    <n v="11.5007257899724"/>
    <n v="2678"/>
    <n v="356"/>
    <n v="137"/>
    <x v="17"/>
    <x v="14"/>
  </r>
  <r>
    <s v="FL1754"/>
    <s v="Chicago"/>
    <s v="Dubai"/>
    <x v="5"/>
    <n v="30000"/>
    <n v="-149.556463884994"/>
    <n v="-42.990762148045199"/>
    <n v="3500"/>
    <n v="450"/>
    <n v="114"/>
    <x v="9"/>
    <x v="16"/>
  </r>
  <r>
    <s v="FL1755"/>
    <s v="Chicago"/>
    <s v="Paris"/>
    <x v="4"/>
    <n v="30000"/>
    <n v="38.464903994450097"/>
    <n v="35.091561481748599"/>
    <n v="2928"/>
    <n v="600"/>
    <n v="150"/>
    <x v="5"/>
    <x v="51"/>
  </r>
  <r>
    <s v="FL1756"/>
    <s v="Miami"/>
    <s v="Dubai"/>
    <x v="6"/>
    <n v="30000"/>
    <n v="137.150282030277"/>
    <n v="12.1303699480932"/>
    <n v="2500"/>
    <n v="300"/>
    <n v="200"/>
    <x v="21"/>
    <x v="37"/>
  </r>
  <r>
    <s v="FL1757"/>
    <s v="Los Angeles"/>
    <s v="Paris"/>
    <x v="2"/>
    <n v="30000"/>
    <n v="137.84933394673999"/>
    <n v="53.323849702149701"/>
    <n v="2882"/>
    <n v="354"/>
    <n v="125"/>
    <x v="18"/>
    <x v="8"/>
  </r>
  <r>
    <s v="FL1758"/>
    <s v="Miami"/>
    <s v="Sydney"/>
    <x v="5"/>
    <n v="35000"/>
    <n v="57.256347647603697"/>
    <n v="42.304533514168199"/>
    <n v="3000"/>
    <n v="356"/>
    <n v="105"/>
    <x v="3"/>
    <x v="58"/>
  </r>
  <r>
    <s v="FL1759"/>
    <s v="Los Angeles"/>
    <s v="Paris"/>
    <x v="4"/>
    <n v="30000"/>
    <n v="-103.956540669745"/>
    <n v="19.8194259665222"/>
    <n v="2882"/>
    <n v="300"/>
    <n v="150"/>
    <x v="18"/>
    <x v="12"/>
  </r>
  <r>
    <s v="FL1760"/>
    <s v="Chicago"/>
    <s v="Tokyo"/>
    <x v="5"/>
    <n v="30000"/>
    <n v="130.67885928919401"/>
    <n v="-2.1280184440534802"/>
    <n v="2583"/>
    <n v="150"/>
    <n v="200"/>
    <x v="2"/>
    <x v="11"/>
  </r>
  <r>
    <s v="FL1761"/>
    <s v="Chicago"/>
    <s v="London"/>
    <x v="1"/>
    <n v="30000"/>
    <n v="138.99363671275501"/>
    <n v="-66.027217379845794"/>
    <n v="2678"/>
    <n v="374"/>
    <n v="116"/>
    <x v="6"/>
    <x v="6"/>
  </r>
  <r>
    <s v="FL1762"/>
    <s v="Miami"/>
    <s v="London"/>
    <x v="1"/>
    <n v="35000"/>
    <n v="-109.204709416935"/>
    <n v="-42.9600567806309"/>
    <n v="2000"/>
    <n v="450"/>
    <n v="150"/>
    <x v="14"/>
    <x v="26"/>
  </r>
  <r>
    <s v="FL1763"/>
    <s v="Miami"/>
    <s v="Sydney"/>
    <x v="6"/>
    <n v="30000"/>
    <n v="85.473390877443805"/>
    <n v="-14.5620948749247"/>
    <n v="2000"/>
    <n v="600"/>
    <n v="200"/>
    <x v="3"/>
    <x v="26"/>
  </r>
  <r>
    <s v="FL1764"/>
    <s v="Los Angeles"/>
    <s v="Tokyo"/>
    <x v="0"/>
    <n v="30000"/>
    <n v="-76.852962386235703"/>
    <n v="17.873871661150002"/>
    <n v="2586"/>
    <n v="397"/>
    <n v="119"/>
    <x v="23"/>
    <x v="0"/>
  </r>
  <r>
    <s v="FL1765"/>
    <s v="Houston"/>
    <s v="Dubai"/>
    <x v="4"/>
    <n v="32000"/>
    <n v="108.950512447055"/>
    <n v="2.4674139387548699"/>
    <n v="2500"/>
    <n v="450"/>
    <n v="150"/>
    <x v="11"/>
    <x v="30"/>
  </r>
  <r>
    <s v="FL1766"/>
    <s v="Los Angeles"/>
    <s v="Tokyo"/>
    <x v="6"/>
    <n v="30000"/>
    <n v="179.005643965297"/>
    <n v="-38.126785327284701"/>
    <n v="3000"/>
    <n v="397"/>
    <n v="119"/>
    <x v="23"/>
    <x v="52"/>
  </r>
  <r>
    <s v="FL1767"/>
    <s v="Miami"/>
    <s v="London"/>
    <x v="2"/>
    <n v="30000"/>
    <n v="-169.190638081419"/>
    <n v="-88.836415597852096"/>
    <n v="2615"/>
    <n v="374"/>
    <n v="121"/>
    <x v="14"/>
    <x v="9"/>
  </r>
  <r>
    <s v="FL1768"/>
    <s v="Miami"/>
    <s v="London"/>
    <x v="2"/>
    <n v="30000"/>
    <n v="143.05171168473501"/>
    <n v="-0.67694005785348599"/>
    <n v="2500"/>
    <n v="450"/>
    <n v="200"/>
    <x v="14"/>
    <x v="7"/>
  </r>
  <r>
    <s v="FL1769"/>
    <s v="New York"/>
    <s v="Tokyo"/>
    <x v="6"/>
    <n v="32000"/>
    <n v="44.1469920955169"/>
    <n v="-38.587322058796303"/>
    <n v="2500"/>
    <n v="450"/>
    <n v="200"/>
    <x v="24"/>
    <x v="28"/>
  </r>
  <r>
    <s v="FL1770"/>
    <s v="Miami"/>
    <s v="Tokyo"/>
    <x v="5"/>
    <n v="35000"/>
    <n v="170.41774289933599"/>
    <n v="42.229494127896302"/>
    <n v="3000"/>
    <n v="450"/>
    <n v="200"/>
    <x v="1"/>
    <x v="16"/>
  </r>
  <r>
    <s v="FL1771"/>
    <s v="New York"/>
    <s v="London"/>
    <x v="1"/>
    <n v="35000"/>
    <n v="-12.596573690486"/>
    <n v="-85.689672251312999"/>
    <n v="3500"/>
    <n v="150"/>
    <n v="150"/>
    <x v="16"/>
    <x v="10"/>
  </r>
  <r>
    <s v="FL1772"/>
    <s v="Houston"/>
    <s v="Dubai"/>
    <x v="4"/>
    <n v="30000"/>
    <n v="125.059655005694"/>
    <n v="15.2690060350424"/>
    <n v="2000"/>
    <n v="600"/>
    <n v="111"/>
    <x v="11"/>
    <x v="51"/>
  </r>
  <r>
    <s v="FL1773"/>
    <s v="Los Angeles"/>
    <s v="Sydney"/>
    <x v="2"/>
    <n v="30000"/>
    <n v="-157.53813530462"/>
    <n v="79.465362751091803"/>
    <n v="3000"/>
    <n v="356"/>
    <n v="145"/>
    <x v="4"/>
    <x v="4"/>
  </r>
  <r>
    <s v="FL1774"/>
    <s v="Los Angeles"/>
    <s v="Sydney"/>
    <x v="2"/>
    <n v="30000"/>
    <n v="-59.299541971813497"/>
    <n v="-58.606331919930099"/>
    <n v="3000"/>
    <n v="356"/>
    <n v="145"/>
    <x v="4"/>
    <x v="4"/>
  </r>
  <r>
    <s v="FL1775"/>
    <s v="New York"/>
    <s v="Tokyo"/>
    <x v="3"/>
    <n v="32000"/>
    <n v="-155.87404640956399"/>
    <n v="-5.1030916648928297"/>
    <n v="2500"/>
    <n v="450"/>
    <n v="200"/>
    <x v="24"/>
    <x v="11"/>
  </r>
  <r>
    <s v="FL1776"/>
    <s v="Los Angeles"/>
    <s v="Sydney"/>
    <x v="1"/>
    <n v="30000"/>
    <n v="171.12352805246499"/>
    <n v="-73.544041472915097"/>
    <n v="3500"/>
    <n v="356"/>
    <n v="200"/>
    <x v="4"/>
    <x v="14"/>
  </r>
  <r>
    <s v="FL1777"/>
    <s v="Miami"/>
    <s v="London"/>
    <x v="2"/>
    <n v="30000"/>
    <n v="114.110606617861"/>
    <n v="22.6227442070435"/>
    <n v="2615"/>
    <n v="374"/>
    <n v="121"/>
    <x v="14"/>
    <x v="9"/>
  </r>
  <r>
    <s v="FL1778"/>
    <s v="Chicago"/>
    <s v="London"/>
    <x v="1"/>
    <n v="30000"/>
    <n v="126.917071648549"/>
    <n v="9.0957025073206097"/>
    <n v="2678"/>
    <n v="374"/>
    <n v="116"/>
    <x v="6"/>
    <x v="6"/>
  </r>
  <r>
    <s v="FL1779"/>
    <s v="New York"/>
    <s v="Tokyo"/>
    <x v="4"/>
    <n v="35000"/>
    <n v="157.66748331620201"/>
    <n v="-16.6742056416902"/>
    <n v="2954"/>
    <n v="300"/>
    <n v="100"/>
    <x v="24"/>
    <x v="12"/>
  </r>
  <r>
    <s v="FL1780"/>
    <s v="Los Angeles"/>
    <s v="Tokyo"/>
    <x v="6"/>
    <n v="30000"/>
    <n v="-149.36274499687701"/>
    <n v="3.8478638652734101"/>
    <n v="2500"/>
    <n v="450"/>
    <n v="100"/>
    <x v="23"/>
    <x v="28"/>
  </r>
  <r>
    <s v="FL1781"/>
    <s v="New York"/>
    <s v="Tokyo"/>
    <x v="6"/>
    <n v="30000"/>
    <n v="-41.1848666952"/>
    <n v="71.383438524421805"/>
    <n v="2954"/>
    <n v="300"/>
    <n v="128"/>
    <x v="24"/>
    <x v="37"/>
  </r>
  <r>
    <s v="FL1782"/>
    <s v="New York"/>
    <s v="Dubai"/>
    <x v="5"/>
    <n v="32000"/>
    <n v="-154.427439944159"/>
    <n v="-54.667025584007902"/>
    <n v="3000"/>
    <n v="600"/>
    <n v="200"/>
    <x v="20"/>
    <x v="33"/>
  </r>
  <r>
    <s v="FL1783"/>
    <s v="Chicago"/>
    <s v="Sydney"/>
    <x v="1"/>
    <n v="30000"/>
    <n v="-104.11448344199"/>
    <n v="-85.9383878930375"/>
    <n v="2678"/>
    <n v="356"/>
    <n v="137"/>
    <x v="17"/>
    <x v="14"/>
  </r>
  <r>
    <s v="FL1784"/>
    <s v="Miami"/>
    <s v="Tokyo"/>
    <x v="3"/>
    <n v="32000"/>
    <n v="-97.428320266438007"/>
    <n v="65.099679245838203"/>
    <n v="3500"/>
    <n v="600"/>
    <n v="150"/>
    <x v="1"/>
    <x v="50"/>
  </r>
  <r>
    <s v="FL1785"/>
    <s v="New York"/>
    <s v="Paris"/>
    <x v="3"/>
    <n v="30000"/>
    <n v="-11.121404022871699"/>
    <n v="13.8810748298232"/>
    <n v="2847"/>
    <n v="600"/>
    <n v="150"/>
    <x v="13"/>
    <x v="50"/>
  </r>
  <r>
    <s v="FL1786"/>
    <s v="Los Angeles"/>
    <s v="Paris"/>
    <x v="5"/>
    <n v="30000"/>
    <n v="-83.317619716688696"/>
    <n v="70.318521983131603"/>
    <n v="3500"/>
    <n v="600"/>
    <n v="50"/>
    <x v="18"/>
    <x v="33"/>
  </r>
  <r>
    <s v="FL1787"/>
    <s v="Houston"/>
    <s v="London"/>
    <x v="2"/>
    <n v="30000"/>
    <n v="-143.647881545606"/>
    <n v="17.4501402143711"/>
    <n v="2846"/>
    <n v="374"/>
    <n v="138"/>
    <x v="8"/>
    <x v="9"/>
  </r>
  <r>
    <s v="FL1788"/>
    <s v="New York"/>
    <s v="Sydney"/>
    <x v="4"/>
    <n v="35000"/>
    <n v="-119.703207926121"/>
    <n v="55.828996192746402"/>
    <n v="2800"/>
    <n v="450"/>
    <n v="120"/>
    <x v="15"/>
    <x v="30"/>
  </r>
  <r>
    <s v="FL1789"/>
    <s v="New York"/>
    <s v="Tokyo"/>
    <x v="1"/>
    <n v="30000"/>
    <n v="-126.98079712124699"/>
    <n v="-12.658794596073401"/>
    <n v="2954"/>
    <n v="397"/>
    <n v="128"/>
    <x v="24"/>
    <x v="1"/>
  </r>
  <r>
    <s v="FL1790"/>
    <s v="Chicago"/>
    <s v="Paris"/>
    <x v="6"/>
    <n v="30000"/>
    <n v="170.307647248427"/>
    <n v="44.974787631888397"/>
    <n v="3500"/>
    <n v="450"/>
    <n v="200"/>
    <x v="5"/>
    <x v="28"/>
  </r>
  <r>
    <s v="FL1791"/>
    <s v="Miami"/>
    <s v="Sydney"/>
    <x v="6"/>
    <n v="35000"/>
    <n v="93.345302490650496"/>
    <n v="74.347464040174103"/>
    <n v="2931"/>
    <n v="450"/>
    <n v="105"/>
    <x v="3"/>
    <x v="28"/>
  </r>
  <r>
    <s v="FL1792"/>
    <s v="Houston"/>
    <s v="London"/>
    <x v="2"/>
    <n v="30000"/>
    <n v="168.39412749704201"/>
    <n v="12.9821334699971"/>
    <n v="2846"/>
    <n v="374"/>
    <n v="138"/>
    <x v="8"/>
    <x v="9"/>
  </r>
  <r>
    <s v="FL1793"/>
    <s v="Los Angeles"/>
    <s v="Dubai"/>
    <x v="6"/>
    <n v="35000"/>
    <n v="-21.693424857152898"/>
    <n v="-57.458672898771702"/>
    <n v="3500"/>
    <n v="300"/>
    <n v="100"/>
    <x v="22"/>
    <x v="37"/>
  </r>
  <r>
    <s v="FL1794"/>
    <s v="Houston"/>
    <s v="Sydney"/>
    <x v="4"/>
    <n v="35000"/>
    <n v="-79.787346601443602"/>
    <n v="-41.616429294564298"/>
    <n v="3000"/>
    <n v="450"/>
    <n v="127"/>
    <x v="12"/>
    <x v="30"/>
  </r>
  <r>
    <s v="FL1795"/>
    <s v="Los Angeles"/>
    <s v="Sydney"/>
    <x v="1"/>
    <n v="30000"/>
    <n v="107.385550995307"/>
    <n v="-54.243976158466999"/>
    <n v="3000"/>
    <n v="356"/>
    <n v="100"/>
    <x v="4"/>
    <x v="14"/>
  </r>
  <r>
    <s v="FL1796"/>
    <s v="Miami"/>
    <s v="Dubai"/>
    <x v="1"/>
    <n v="30000"/>
    <n v="-62.548589505187202"/>
    <n v="-45.565735032768103"/>
    <n v="2700"/>
    <n v="402"/>
    <n v="128"/>
    <x v="21"/>
    <x v="34"/>
  </r>
  <r>
    <s v="FL1797"/>
    <s v="Los Angeles"/>
    <s v="Sydney"/>
    <x v="2"/>
    <n v="30000"/>
    <n v="-72.221985466074599"/>
    <n v="-34.845219116813503"/>
    <n v="3000"/>
    <n v="356"/>
    <n v="145"/>
    <x v="4"/>
    <x v="4"/>
  </r>
  <r>
    <s v="FL1798"/>
    <s v="Chicago"/>
    <s v="London"/>
    <x v="1"/>
    <n v="30000"/>
    <n v="-96.297842805180807"/>
    <n v="9.9240816155739306"/>
    <n v="2678"/>
    <n v="374"/>
    <n v="116"/>
    <x v="6"/>
    <x v="6"/>
  </r>
  <r>
    <s v="FL1799"/>
    <s v="Chicago"/>
    <s v="London"/>
    <x v="1"/>
    <n v="30000"/>
    <n v="-133.31556783927499"/>
    <n v="15.8384933034899"/>
    <n v="2678"/>
    <n v="374"/>
    <n v="116"/>
    <x v="6"/>
    <x v="6"/>
  </r>
  <r>
    <s v="FL1800"/>
    <s v="Chicago"/>
    <s v="Dubai"/>
    <x v="0"/>
    <n v="30000"/>
    <n v="-87.673298033964201"/>
    <n v="-13.230045496464999"/>
    <n v="2636"/>
    <n v="402"/>
    <n v="114"/>
    <x v="9"/>
    <x v="42"/>
  </r>
  <r>
    <s v="FL1801"/>
    <s v="Chicago"/>
    <s v="Tokyo"/>
    <x v="2"/>
    <n v="30000"/>
    <n v="-52.084890549400399"/>
    <n v="20.775740367750402"/>
    <n v="2500"/>
    <n v="450"/>
    <n v="50"/>
    <x v="2"/>
    <x v="7"/>
  </r>
  <r>
    <s v="FL1802"/>
    <s v="Houston"/>
    <s v="Paris"/>
    <x v="1"/>
    <n v="30000"/>
    <n v="62.637914932462898"/>
    <n v="-75.316513389954096"/>
    <n v="2647"/>
    <n v="354"/>
    <n v="113"/>
    <x v="19"/>
    <x v="22"/>
  </r>
  <r>
    <s v="FL1803"/>
    <s v="Miami"/>
    <s v="Tokyo"/>
    <x v="6"/>
    <n v="35000"/>
    <n v="-157.47665680099701"/>
    <n v="-74.1981173295312"/>
    <n v="3000"/>
    <n v="450"/>
    <n v="150"/>
    <x v="1"/>
    <x v="28"/>
  </r>
  <r>
    <s v="FL1804"/>
    <s v="Los Angeles"/>
    <s v="Sydney"/>
    <x v="5"/>
    <n v="30000"/>
    <n v="-104.217501720477"/>
    <n v="-59.070697135621501"/>
    <n v="3000"/>
    <n v="450"/>
    <n v="100"/>
    <x v="4"/>
    <x v="16"/>
  </r>
  <r>
    <s v="FL1805"/>
    <s v="Los Angeles"/>
    <s v="Paris"/>
    <x v="3"/>
    <n v="30000"/>
    <n v="111.248510505003"/>
    <n v="3.2539496472620599"/>
    <n v="2000"/>
    <n v="600"/>
    <n v="50"/>
    <x v="18"/>
    <x v="50"/>
  </r>
  <r>
    <s v="FL1806"/>
    <s v="Chicago"/>
    <s v="Dubai"/>
    <x v="6"/>
    <n v="35000"/>
    <n v="-127.108107509842"/>
    <n v="-51.480957834303602"/>
    <n v="2000"/>
    <n v="600"/>
    <n v="150"/>
    <x v="9"/>
    <x v="26"/>
  </r>
  <r>
    <s v="FL1807"/>
    <s v="Chicago"/>
    <s v="Dubai"/>
    <x v="1"/>
    <n v="30000"/>
    <n v="-56.647747251892199"/>
    <n v="-39.008807371336097"/>
    <n v="3500"/>
    <n v="450"/>
    <n v="200"/>
    <x v="9"/>
    <x v="26"/>
  </r>
  <r>
    <s v="FL1808"/>
    <s v="New York"/>
    <s v="Paris"/>
    <x v="3"/>
    <n v="32000"/>
    <n v="131.27721186893001"/>
    <n v="-17.9436894888611"/>
    <n v="2000"/>
    <n v="354"/>
    <n v="150"/>
    <x v="13"/>
    <x v="57"/>
  </r>
  <r>
    <s v="FL1809"/>
    <s v="Miami"/>
    <s v="London"/>
    <x v="6"/>
    <n v="30000"/>
    <n v="-124.226887988361"/>
    <n v="56.1359023218684"/>
    <n v="3500"/>
    <n v="600"/>
    <n v="121"/>
    <x v="14"/>
    <x v="26"/>
  </r>
  <r>
    <s v="FL1810"/>
    <s v="Houston"/>
    <s v="Paris"/>
    <x v="1"/>
    <n v="30000"/>
    <n v="-150.214739177452"/>
    <n v="-87.504815535685196"/>
    <n v="2647"/>
    <n v="354"/>
    <n v="113"/>
    <x v="19"/>
    <x v="22"/>
  </r>
  <r>
    <s v="FL1811"/>
    <s v="Los Angeles"/>
    <s v="Sydney"/>
    <x v="2"/>
    <n v="30000"/>
    <n v="-5.5663217711961002"/>
    <n v="26.888187642592001"/>
    <n v="3000"/>
    <n v="356"/>
    <n v="145"/>
    <x v="4"/>
    <x v="4"/>
  </r>
  <r>
    <s v="FL1812"/>
    <s v="New York"/>
    <s v="London"/>
    <x v="1"/>
    <n v="35000"/>
    <n v="-71.128975939726899"/>
    <n v="30.397775587323402"/>
    <n v="3000"/>
    <n v="374"/>
    <n v="150"/>
    <x v="16"/>
    <x v="6"/>
  </r>
  <r>
    <s v="FL1813"/>
    <s v="New York"/>
    <s v="Dubai"/>
    <x v="7"/>
    <n v="30000"/>
    <n v="22.8270112141875"/>
    <n v="53.7580404641946"/>
    <n v="2588"/>
    <n v="402"/>
    <n v="134"/>
    <x v="20"/>
    <x v="23"/>
  </r>
  <r>
    <s v="FL1814"/>
    <s v="Los Angeles"/>
    <s v="Paris"/>
    <x v="1"/>
    <n v="30000"/>
    <n v="109.369760574051"/>
    <n v="77.895529030856395"/>
    <n v="3000"/>
    <n v="450"/>
    <n v="50"/>
    <x v="18"/>
    <x v="26"/>
  </r>
  <r>
    <s v="FL1815"/>
    <s v="Houston"/>
    <s v="Tokyo"/>
    <x v="5"/>
    <n v="30000"/>
    <n v="-130.626544265013"/>
    <n v="-86.3751871891278"/>
    <n v="2550"/>
    <n v="450"/>
    <n v="150"/>
    <x v="0"/>
    <x v="16"/>
  </r>
  <r>
    <s v="FL1816"/>
    <s v="New York"/>
    <s v="Tokyo"/>
    <x v="1"/>
    <n v="30000"/>
    <n v="29.051670439542601"/>
    <n v="-62.318933007621098"/>
    <n v="2954"/>
    <n v="397"/>
    <n v="128"/>
    <x v="24"/>
    <x v="1"/>
  </r>
  <r>
    <s v="FL1817"/>
    <s v="New York"/>
    <s v="Sydney"/>
    <x v="1"/>
    <n v="30000"/>
    <n v="1.98315374035101"/>
    <n v="69.510832930078706"/>
    <n v="3500"/>
    <n v="600"/>
    <n v="150"/>
    <x v="15"/>
    <x v="13"/>
  </r>
  <r>
    <s v="FL1818"/>
    <s v="Miami"/>
    <s v="Tokyo"/>
    <x v="1"/>
    <n v="30000"/>
    <n v="-128.13163703524799"/>
    <n v="-7.4666588063372403"/>
    <n v="2000"/>
    <n v="600"/>
    <n v="50"/>
    <x v="1"/>
    <x v="13"/>
  </r>
  <r>
    <s v="FL1819"/>
    <s v="Houston"/>
    <s v="Paris"/>
    <x v="5"/>
    <n v="32000"/>
    <n v="44.639454790433703"/>
    <n v="11.626315008023401"/>
    <n v="2647"/>
    <n v="600"/>
    <n v="150"/>
    <x v="19"/>
    <x v="33"/>
  </r>
  <r>
    <s v="FL1820"/>
    <s v="New York"/>
    <s v="Paris"/>
    <x v="1"/>
    <n v="30000"/>
    <n v="-81.489449570122204"/>
    <n v="29.344896670166499"/>
    <n v="2847"/>
    <n v="354"/>
    <n v="122"/>
    <x v="13"/>
    <x v="22"/>
  </r>
  <r>
    <s v="FL1821"/>
    <s v="Houston"/>
    <s v="Tokyo"/>
    <x v="3"/>
    <n v="35000"/>
    <n v="-4.37964532415549"/>
    <n v="32.231988809214698"/>
    <n v="2550"/>
    <n v="397"/>
    <n v="100"/>
    <x v="0"/>
    <x v="29"/>
  </r>
  <r>
    <s v="FL1822"/>
    <s v="Los Angeles"/>
    <s v="Paris"/>
    <x v="2"/>
    <n v="30000"/>
    <n v="-150.381963260258"/>
    <n v="77.713272596971507"/>
    <n v="2882"/>
    <n v="354"/>
    <n v="125"/>
    <x v="18"/>
    <x v="8"/>
  </r>
  <r>
    <s v="FL1823"/>
    <s v="Chicago"/>
    <s v="Sydney"/>
    <x v="1"/>
    <n v="30000"/>
    <n v="-14.5497394030957"/>
    <n v="89.450895134100506"/>
    <n v="2678"/>
    <n v="356"/>
    <n v="137"/>
    <x v="17"/>
    <x v="14"/>
  </r>
  <r>
    <s v="FL1824"/>
    <s v="New York"/>
    <s v="London"/>
    <x v="1"/>
    <n v="30000"/>
    <n v="-69.673151504584695"/>
    <n v="39.628342967569203"/>
    <n v="2760"/>
    <n v="374"/>
    <n v="107"/>
    <x v="16"/>
    <x v="6"/>
  </r>
  <r>
    <s v="FL1825"/>
    <s v="Miami"/>
    <s v="Sydney"/>
    <x v="4"/>
    <n v="35000"/>
    <n v="116.057236026727"/>
    <n v="-38.300182343072798"/>
    <n v="3000"/>
    <n v="150"/>
    <n v="200"/>
    <x v="3"/>
    <x v="48"/>
  </r>
  <r>
    <s v="FL1826"/>
    <s v="Los Angeles"/>
    <s v="Sydney"/>
    <x v="2"/>
    <n v="30000"/>
    <n v="-159.48765828094699"/>
    <n v="68.355432412981898"/>
    <n v="3000"/>
    <n v="356"/>
    <n v="145"/>
    <x v="4"/>
    <x v="4"/>
  </r>
  <r>
    <s v="FL1827"/>
    <s v="Houston"/>
    <s v="Paris"/>
    <x v="1"/>
    <n v="30000"/>
    <n v="-29.301381029401199"/>
    <n v="-81.140235382662894"/>
    <n v="2647"/>
    <n v="354"/>
    <n v="113"/>
    <x v="19"/>
    <x v="22"/>
  </r>
  <r>
    <s v="FL1828"/>
    <s v="Los Angeles"/>
    <s v="London"/>
    <x v="2"/>
    <n v="32000"/>
    <n v="-14.964687312682299"/>
    <n v="-48.405446482590698"/>
    <n v="3000"/>
    <n v="450"/>
    <n v="200"/>
    <x v="10"/>
    <x v="7"/>
  </r>
  <r>
    <s v="FL1829"/>
    <s v="New York"/>
    <s v="Paris"/>
    <x v="1"/>
    <n v="30000"/>
    <n v="81.002187467682703"/>
    <n v="71.529429143468704"/>
    <n v="2847"/>
    <n v="354"/>
    <n v="122"/>
    <x v="13"/>
    <x v="22"/>
  </r>
  <r>
    <s v="FL1830"/>
    <s v="Houston"/>
    <s v="Dubai"/>
    <x v="1"/>
    <n v="32000"/>
    <n v="26.7435270324759"/>
    <n v="-43.885527400916096"/>
    <n v="2500"/>
    <n v="402"/>
    <n v="111"/>
    <x v="11"/>
    <x v="34"/>
  </r>
  <r>
    <s v="FL1831"/>
    <s v="Chicago"/>
    <s v="Paris"/>
    <x v="1"/>
    <n v="35000"/>
    <n v="60.196441389905203"/>
    <n v="-50.282809268085302"/>
    <n v="3000"/>
    <n v="300"/>
    <n v="50"/>
    <x v="5"/>
    <x v="20"/>
  </r>
  <r>
    <s v="FL1832"/>
    <s v="Los Angeles"/>
    <s v="Paris"/>
    <x v="3"/>
    <n v="30000"/>
    <n v="99.737742834632201"/>
    <n v="-65.137447234755498"/>
    <n v="2000"/>
    <n v="300"/>
    <n v="200"/>
    <x v="18"/>
    <x v="36"/>
  </r>
  <r>
    <s v="FL1833"/>
    <s v="New York"/>
    <s v="Paris"/>
    <x v="5"/>
    <n v="30000"/>
    <n v="130.393070516948"/>
    <n v="64.640116376444993"/>
    <n v="2847"/>
    <n v="150"/>
    <n v="50"/>
    <x v="13"/>
    <x v="11"/>
  </r>
  <r>
    <s v="FL1834"/>
    <s v="Miami"/>
    <s v="London"/>
    <x v="1"/>
    <n v="30000"/>
    <n v="-67.004821179910607"/>
    <n v="1.04866543956064E-2"/>
    <n v="2500"/>
    <n v="450"/>
    <n v="150"/>
    <x v="14"/>
    <x v="26"/>
  </r>
  <r>
    <s v="FL1835"/>
    <s v="Houston"/>
    <s v="Paris"/>
    <x v="5"/>
    <n v="35000"/>
    <n v="13.688173931005"/>
    <n v="31.480776549747901"/>
    <n v="3500"/>
    <n v="150"/>
    <n v="100"/>
    <x v="19"/>
    <x v="11"/>
  </r>
  <r>
    <s v="FL1836"/>
    <s v="Los Angeles"/>
    <s v="London"/>
    <x v="2"/>
    <n v="30000"/>
    <n v="122.43890823811201"/>
    <n v="-46.9680508664947"/>
    <n v="2760"/>
    <n v="374"/>
    <n v="131"/>
    <x v="10"/>
    <x v="9"/>
  </r>
  <r>
    <s v="FL1837"/>
    <s v="Los Angeles"/>
    <s v="Tokyo"/>
    <x v="0"/>
    <n v="30000"/>
    <n v="176.20240714741999"/>
    <n v="46.447275782018998"/>
    <n v="2586"/>
    <n v="397"/>
    <n v="119"/>
    <x v="23"/>
    <x v="0"/>
  </r>
  <r>
    <s v="FL1838"/>
    <s v="Chicago"/>
    <s v="Dubai"/>
    <x v="6"/>
    <n v="32000"/>
    <n v="140.22695197575499"/>
    <n v="46.800998093177697"/>
    <n v="2500"/>
    <n v="300"/>
    <n v="50"/>
    <x v="9"/>
    <x v="37"/>
  </r>
  <r>
    <s v="FL1839"/>
    <s v="Chicago"/>
    <s v="London"/>
    <x v="4"/>
    <n v="30000"/>
    <n v="-46.271785455224297"/>
    <n v="-33.732355516505997"/>
    <n v="3500"/>
    <n v="450"/>
    <n v="50"/>
    <x v="6"/>
    <x v="30"/>
  </r>
  <r>
    <s v="FL1840"/>
    <s v="Miami"/>
    <s v="Tokyo"/>
    <x v="4"/>
    <n v="30000"/>
    <n v="-109.740053801286"/>
    <n v="-16.077126058149101"/>
    <n v="3000"/>
    <n v="600"/>
    <n v="100"/>
    <x v="1"/>
    <x v="51"/>
  </r>
  <r>
    <s v="FL1841"/>
    <s v="Miami"/>
    <s v="London"/>
    <x v="2"/>
    <n v="30000"/>
    <n v="-3.8186865336280702"/>
    <n v="-52.255750062563799"/>
    <n v="2000"/>
    <n v="600"/>
    <n v="50"/>
    <x v="14"/>
    <x v="46"/>
  </r>
  <r>
    <s v="FL1842"/>
    <s v="New York"/>
    <s v="London"/>
    <x v="1"/>
    <n v="35000"/>
    <n v="86.990922660975201"/>
    <n v="85.780984198122795"/>
    <n v="3000"/>
    <n v="600"/>
    <n v="107"/>
    <x v="16"/>
    <x v="13"/>
  </r>
  <r>
    <s v="FL1843"/>
    <s v="New York"/>
    <s v="Dubai"/>
    <x v="3"/>
    <n v="32000"/>
    <n v="-2.6751345288128601"/>
    <n v="26.208463870514102"/>
    <n v="2000"/>
    <n v="402"/>
    <n v="134"/>
    <x v="20"/>
    <x v="38"/>
  </r>
  <r>
    <s v="FL1844"/>
    <s v="Miami"/>
    <s v="Sydney"/>
    <x v="1"/>
    <n v="30000"/>
    <n v="-6.0548892070793299"/>
    <n v="78.217898528792801"/>
    <n v="3000"/>
    <n v="300"/>
    <n v="50"/>
    <x v="3"/>
    <x v="20"/>
  </r>
  <r>
    <s v="FL1845"/>
    <s v="Miami"/>
    <s v="Sydney"/>
    <x v="0"/>
    <n v="30000"/>
    <n v="121.76295158944799"/>
    <n v="-35.390602146756002"/>
    <n v="2931"/>
    <n v="356"/>
    <n v="105"/>
    <x v="3"/>
    <x v="3"/>
  </r>
  <r>
    <s v="FL1846"/>
    <s v="Houston"/>
    <s v="London"/>
    <x v="6"/>
    <n v="30000"/>
    <n v="-49.8946395358129"/>
    <n v="50.740364339440198"/>
    <n v="2500"/>
    <n v="374"/>
    <n v="200"/>
    <x v="8"/>
    <x v="18"/>
  </r>
  <r>
    <s v="FL1847"/>
    <s v="Chicago"/>
    <s v="Paris"/>
    <x v="3"/>
    <n v="32000"/>
    <n v="129.526082932192"/>
    <n v="47.854555899253597"/>
    <n v="2928"/>
    <n v="150"/>
    <n v="121"/>
    <x v="5"/>
    <x v="15"/>
  </r>
  <r>
    <s v="FL1848"/>
    <s v="New York"/>
    <s v="Tokyo"/>
    <x v="5"/>
    <n v="35000"/>
    <n v="-33.550271657379497"/>
    <n v="34.498017335977501"/>
    <n v="3500"/>
    <n v="600"/>
    <n v="50"/>
    <x v="24"/>
    <x v="33"/>
  </r>
  <r>
    <s v="FL1849"/>
    <s v="Chicago"/>
    <s v="Paris"/>
    <x v="0"/>
    <n v="30000"/>
    <n v="-61.836081955797802"/>
    <n v="83.815015548024107"/>
    <n v="2928"/>
    <n v="354"/>
    <n v="121"/>
    <x v="5"/>
    <x v="5"/>
  </r>
  <r>
    <s v="FL1850"/>
    <s v="Chicago"/>
    <s v="Paris"/>
    <x v="0"/>
    <n v="30000"/>
    <n v="-16.5636319681084"/>
    <n v="-19.160039500863199"/>
    <n v="3500"/>
    <n v="150"/>
    <n v="200"/>
    <x v="5"/>
    <x v="59"/>
  </r>
  <r>
    <s v="FL1851"/>
    <s v="Miami"/>
    <s v="London"/>
    <x v="4"/>
    <n v="32000"/>
    <n v="94.480905122952706"/>
    <n v="-66.470881753843699"/>
    <n v="2000"/>
    <n v="450"/>
    <n v="100"/>
    <x v="14"/>
    <x v="30"/>
  </r>
  <r>
    <s v="FL1852"/>
    <s v="Houston"/>
    <s v="London"/>
    <x v="2"/>
    <n v="30000"/>
    <n v="-134.639269968962"/>
    <n v="30.907594663930901"/>
    <n v="2846"/>
    <n v="374"/>
    <n v="138"/>
    <x v="8"/>
    <x v="9"/>
  </r>
  <r>
    <s v="FL1853"/>
    <s v="Los Angeles"/>
    <s v="London"/>
    <x v="1"/>
    <n v="30000"/>
    <n v="-109.28908228607401"/>
    <n v="41.275764085897102"/>
    <n v="3500"/>
    <n v="300"/>
    <n v="100"/>
    <x v="10"/>
    <x v="20"/>
  </r>
  <r>
    <s v="FL1854"/>
    <s v="Houston"/>
    <s v="London"/>
    <x v="6"/>
    <n v="30000"/>
    <n v="162.520137238713"/>
    <n v="13.510903222586601"/>
    <n v="2500"/>
    <n v="374"/>
    <n v="150"/>
    <x v="8"/>
    <x v="18"/>
  </r>
  <r>
    <s v="FL1855"/>
    <s v="Houston"/>
    <s v="Sydney"/>
    <x v="6"/>
    <n v="35000"/>
    <n v="-116.823014142711"/>
    <n v="-52.7727792359887"/>
    <n v="3000"/>
    <n v="300"/>
    <n v="100"/>
    <x v="12"/>
    <x v="37"/>
  </r>
  <r>
    <s v="FL1856"/>
    <s v="Chicago"/>
    <s v="London"/>
    <x v="5"/>
    <n v="30000"/>
    <n v="24.3818344551796"/>
    <n v="0.80206950048396697"/>
    <n v="3500"/>
    <n v="450"/>
    <n v="50"/>
    <x v="6"/>
    <x v="16"/>
  </r>
  <r>
    <s v="FL1857"/>
    <s v="Houston"/>
    <s v="Sydney"/>
    <x v="1"/>
    <n v="30000"/>
    <n v="28.553207998297601"/>
    <n v="-33.805847417556699"/>
    <n v="2500"/>
    <n v="150"/>
    <n v="50"/>
    <x v="12"/>
    <x v="10"/>
  </r>
  <r>
    <s v="FL1858"/>
    <s v="New York"/>
    <s v="Sydney"/>
    <x v="4"/>
    <n v="32000"/>
    <n v="-3.73519366191187"/>
    <n v="-13.056024929995999"/>
    <n v="3500"/>
    <n v="300"/>
    <n v="150"/>
    <x v="15"/>
    <x v="12"/>
  </r>
  <r>
    <s v="FL1859"/>
    <s v="Chicago"/>
    <s v="London"/>
    <x v="1"/>
    <n v="30000"/>
    <n v="52.108289487654702"/>
    <n v="26.1393436520395"/>
    <n v="2678"/>
    <n v="374"/>
    <n v="116"/>
    <x v="6"/>
    <x v="6"/>
  </r>
  <r>
    <s v="FL1860"/>
    <s v="New York"/>
    <s v="Dubai"/>
    <x v="6"/>
    <n v="30000"/>
    <n v="-97.262378712857398"/>
    <n v="44.138653684350203"/>
    <n v="2000"/>
    <n v="600"/>
    <n v="150"/>
    <x v="20"/>
    <x v="26"/>
  </r>
  <r>
    <s v="FL1861"/>
    <s v="Los Angeles"/>
    <s v="Tokyo"/>
    <x v="5"/>
    <n v="30000"/>
    <n v="18.9584163996294"/>
    <n v="-48.199555637758202"/>
    <n v="2000"/>
    <n v="150"/>
    <n v="150"/>
    <x v="23"/>
    <x v="11"/>
  </r>
  <r>
    <s v="FL1862"/>
    <s v="Chicago"/>
    <s v="Paris"/>
    <x v="3"/>
    <n v="35000"/>
    <n v="-46.017628111116998"/>
    <n v="-17.0414350835484"/>
    <n v="3500"/>
    <n v="450"/>
    <n v="50"/>
    <x v="5"/>
    <x v="11"/>
  </r>
  <r>
    <s v="FL1863"/>
    <s v="Los Angeles"/>
    <s v="Sydney"/>
    <x v="4"/>
    <n v="30000"/>
    <n v="58.200213466508103"/>
    <n v="-41.550917221506701"/>
    <n v="2500"/>
    <n v="600"/>
    <n v="145"/>
    <x v="4"/>
    <x v="51"/>
  </r>
  <r>
    <s v="FL1864"/>
    <s v="Chicago"/>
    <s v="Tokyo"/>
    <x v="2"/>
    <n v="32000"/>
    <n v="-129.159524385666"/>
    <n v="-54.246309504863603"/>
    <n v="2583"/>
    <n v="600"/>
    <n v="150"/>
    <x v="2"/>
    <x v="46"/>
  </r>
  <r>
    <s v="FL1865"/>
    <s v="Miami"/>
    <s v="Dubai"/>
    <x v="1"/>
    <n v="30000"/>
    <n v="25.515870062211398"/>
    <n v="51.009699599250901"/>
    <n v="2700"/>
    <n v="402"/>
    <n v="128"/>
    <x v="21"/>
    <x v="34"/>
  </r>
  <r>
    <s v="FL1866"/>
    <s v="Houston"/>
    <s v="Paris"/>
    <x v="1"/>
    <n v="30000"/>
    <n v="-113.302672062003"/>
    <n v="73.665484998658599"/>
    <n v="2647"/>
    <n v="354"/>
    <n v="113"/>
    <x v="19"/>
    <x v="22"/>
  </r>
  <r>
    <s v="FL1867"/>
    <s v="Miami"/>
    <s v="Paris"/>
    <x v="2"/>
    <n v="30000"/>
    <n v="-79.688497278586894"/>
    <n v="-23.358206576776201"/>
    <n v="2718"/>
    <n v="354"/>
    <n v="115"/>
    <x v="7"/>
    <x v="8"/>
  </r>
  <r>
    <s v="FL1868"/>
    <s v="Los Angeles"/>
    <s v="Sydney"/>
    <x v="2"/>
    <n v="30000"/>
    <n v="-101.26447188351"/>
    <n v="45.230206387278002"/>
    <n v="3000"/>
    <n v="356"/>
    <n v="145"/>
    <x v="4"/>
    <x v="4"/>
  </r>
  <r>
    <s v="FL1869"/>
    <s v="Houston"/>
    <s v="London"/>
    <x v="4"/>
    <n v="30000"/>
    <n v="-114.178399247226"/>
    <n v="71.459152085593999"/>
    <n v="3500"/>
    <n v="450"/>
    <n v="200"/>
    <x v="8"/>
    <x v="30"/>
  </r>
  <r>
    <s v="FL1870"/>
    <s v="Chicago"/>
    <s v="Dubai"/>
    <x v="3"/>
    <n v="30000"/>
    <n v="117.25594256184"/>
    <n v="62.302357895441702"/>
    <n v="2500"/>
    <n v="600"/>
    <n v="200"/>
    <x v="9"/>
    <x v="50"/>
  </r>
  <r>
    <s v="FL1871"/>
    <s v="Houston"/>
    <s v="Sydney"/>
    <x v="6"/>
    <n v="30000"/>
    <n v="-77.145275642079497"/>
    <n v="-57.093590062939299"/>
    <n v="2500"/>
    <n v="356"/>
    <n v="127"/>
    <x v="12"/>
    <x v="44"/>
  </r>
  <r>
    <s v="FL1872"/>
    <s v="New York"/>
    <s v="Dubai"/>
    <x v="7"/>
    <n v="30000"/>
    <n v="153.764561471202"/>
    <n v="82.132538672405005"/>
    <n v="2588"/>
    <n v="402"/>
    <n v="134"/>
    <x v="20"/>
    <x v="23"/>
  </r>
  <r>
    <s v="FL1873"/>
    <s v="Houston"/>
    <s v="London"/>
    <x v="2"/>
    <n v="32000"/>
    <n v="169.17354912426899"/>
    <n v="-22.198240722696699"/>
    <n v="3500"/>
    <n v="600"/>
    <n v="50"/>
    <x v="8"/>
    <x v="46"/>
  </r>
  <r>
    <s v="FL1874"/>
    <s v="New York"/>
    <s v="London"/>
    <x v="5"/>
    <n v="32000"/>
    <n v="25.653769177354999"/>
    <n v="-28.936680988709501"/>
    <n v="2500"/>
    <n v="450"/>
    <n v="100"/>
    <x v="16"/>
    <x v="16"/>
  </r>
  <r>
    <s v="FL1875"/>
    <s v="Houston"/>
    <s v="Sydney"/>
    <x v="3"/>
    <n v="30000"/>
    <n v="-128.51959584033801"/>
    <n v="-78.762361089999501"/>
    <n v="2000"/>
    <n v="300"/>
    <n v="50"/>
    <x v="12"/>
    <x v="36"/>
  </r>
  <r>
    <s v="FL1876"/>
    <s v="New York"/>
    <s v="London"/>
    <x v="1"/>
    <n v="30000"/>
    <n v="-45.162632383350697"/>
    <n v="-2.4887422611210601"/>
    <n v="3500"/>
    <n v="300"/>
    <n v="100"/>
    <x v="16"/>
    <x v="20"/>
  </r>
  <r>
    <s v="FL1877"/>
    <s v="Los Angeles"/>
    <s v="Tokyo"/>
    <x v="6"/>
    <n v="30000"/>
    <n v="107.183614805357"/>
    <n v="-70.377549184632798"/>
    <n v="2000"/>
    <n v="600"/>
    <n v="100"/>
    <x v="23"/>
    <x v="26"/>
  </r>
  <r>
    <s v="FL1878"/>
    <s v="Miami"/>
    <s v="Paris"/>
    <x v="4"/>
    <n v="30000"/>
    <n v="-47.739337669054599"/>
    <n v="-45.2628322330633"/>
    <n v="3000"/>
    <n v="300"/>
    <n v="150"/>
    <x v="7"/>
    <x v="12"/>
  </r>
  <r>
    <s v="FL1879"/>
    <s v="Chicago"/>
    <s v="Sydney"/>
    <x v="1"/>
    <n v="30000"/>
    <n v="-148.67380141099599"/>
    <n v="-32.950328081889403"/>
    <n v="2678"/>
    <n v="356"/>
    <n v="137"/>
    <x v="17"/>
    <x v="14"/>
  </r>
  <r>
    <s v="FL1880"/>
    <s v="Houston"/>
    <s v="Dubai"/>
    <x v="1"/>
    <n v="35000"/>
    <n v="20.4425679341477"/>
    <n v="55.588738228503097"/>
    <n v="3000"/>
    <n v="402"/>
    <n v="50"/>
    <x v="11"/>
    <x v="34"/>
  </r>
  <r>
    <s v="FL1881"/>
    <s v="Miami"/>
    <s v="Tokyo"/>
    <x v="4"/>
    <n v="30000"/>
    <n v="124.243506538573"/>
    <n v="67.5879570712614"/>
    <n v="2500"/>
    <n v="600"/>
    <n v="126"/>
    <x v="1"/>
    <x v="51"/>
  </r>
  <r>
    <s v="FL1882"/>
    <s v="Chicago"/>
    <s v="Sydney"/>
    <x v="4"/>
    <n v="30000"/>
    <n v="106.53349937166099"/>
    <n v="-35.556062856935398"/>
    <n v="2500"/>
    <n v="450"/>
    <n v="200"/>
    <x v="17"/>
    <x v="30"/>
  </r>
  <r>
    <s v="FL1883"/>
    <s v="Chicago"/>
    <s v="London"/>
    <x v="1"/>
    <n v="30000"/>
    <n v="-116.95566955307299"/>
    <n v="64.565661824023294"/>
    <n v="2678"/>
    <n v="374"/>
    <n v="116"/>
    <x v="6"/>
    <x v="6"/>
  </r>
  <r>
    <s v="FL1884"/>
    <s v="New York"/>
    <s v="London"/>
    <x v="1"/>
    <n v="30000"/>
    <n v="62.195261188487997"/>
    <n v="64.301568726562394"/>
    <n v="2760"/>
    <n v="374"/>
    <n v="107"/>
    <x v="16"/>
    <x v="6"/>
  </r>
  <r>
    <s v="FL1885"/>
    <s v="Los Angeles"/>
    <s v="London"/>
    <x v="2"/>
    <n v="32000"/>
    <n v="-100.618465163167"/>
    <n v="47.637171069277201"/>
    <n v="3000"/>
    <n v="150"/>
    <n v="200"/>
    <x v="10"/>
    <x v="31"/>
  </r>
  <r>
    <s v="FL1886"/>
    <s v="Los Angeles"/>
    <s v="London"/>
    <x v="5"/>
    <n v="32000"/>
    <n v="-101.445287561218"/>
    <n v="-63.594879477267298"/>
    <n v="2500"/>
    <n v="150"/>
    <n v="50"/>
    <x v="10"/>
    <x v="11"/>
  </r>
  <r>
    <s v="FL1887"/>
    <s v="Miami"/>
    <s v="Dubai"/>
    <x v="3"/>
    <n v="30000"/>
    <n v="134.66583838986699"/>
    <n v="34.2581124421312"/>
    <n v="3500"/>
    <n v="300"/>
    <n v="200"/>
    <x v="21"/>
    <x v="36"/>
  </r>
  <r>
    <s v="FL1888"/>
    <s v="Los Angeles"/>
    <s v="Tokyo"/>
    <x v="6"/>
    <n v="30000"/>
    <n v="-90.119177013517103"/>
    <n v="80.104331624502393"/>
    <n v="2500"/>
    <n v="300"/>
    <n v="50"/>
    <x v="23"/>
    <x v="37"/>
  </r>
  <r>
    <s v="FL1889"/>
    <s v="Houston"/>
    <s v="Paris"/>
    <x v="1"/>
    <n v="35000"/>
    <n v="-85.230955253516001"/>
    <n v="32.857286178088302"/>
    <n v="2647"/>
    <n v="150"/>
    <n v="100"/>
    <x v="19"/>
    <x v="10"/>
  </r>
  <r>
    <s v="FL1890"/>
    <s v="Los Angeles"/>
    <s v="Dubai"/>
    <x v="7"/>
    <n v="30000"/>
    <n v="-179.76477932593201"/>
    <n v="-30.308967160589901"/>
    <n v="2500"/>
    <n v="402"/>
    <n v="150"/>
    <x v="22"/>
    <x v="23"/>
  </r>
  <r>
    <s v="FL1891"/>
    <s v="Miami"/>
    <s v="Dubai"/>
    <x v="1"/>
    <n v="32000"/>
    <n v="133.440852285186"/>
    <n v="0.10427713754963"/>
    <n v="3000"/>
    <n v="300"/>
    <n v="50"/>
    <x v="21"/>
    <x v="20"/>
  </r>
  <r>
    <s v="FL1892"/>
    <s v="Los Angeles"/>
    <s v="Paris"/>
    <x v="2"/>
    <n v="30000"/>
    <n v="105.334132755288"/>
    <n v="26.2305078031896"/>
    <n v="2882"/>
    <n v="354"/>
    <n v="125"/>
    <x v="18"/>
    <x v="8"/>
  </r>
  <r>
    <s v="FL1893"/>
    <s v="Houston"/>
    <s v="Paris"/>
    <x v="1"/>
    <n v="30000"/>
    <n v="45.838416632644098"/>
    <n v="1.9026735711306499"/>
    <n v="2647"/>
    <n v="354"/>
    <n v="113"/>
    <x v="19"/>
    <x v="22"/>
  </r>
  <r>
    <s v="FL1894"/>
    <s v="New York"/>
    <s v="London"/>
    <x v="1"/>
    <n v="30000"/>
    <n v="90.095675017983197"/>
    <n v="-68.408470488425394"/>
    <n v="2760"/>
    <n v="374"/>
    <n v="107"/>
    <x v="16"/>
    <x v="6"/>
  </r>
  <r>
    <s v="FL1895"/>
    <s v="Miami"/>
    <s v="Dubai"/>
    <x v="1"/>
    <n v="30000"/>
    <n v="-125.262515727183"/>
    <n v="-33.8284719626363"/>
    <n v="2700"/>
    <n v="402"/>
    <n v="128"/>
    <x v="21"/>
    <x v="34"/>
  </r>
  <r>
    <s v="FL1896"/>
    <s v="New York"/>
    <s v="Sydney"/>
    <x v="1"/>
    <n v="30000"/>
    <n v="-15.0035059484728"/>
    <n v="54.431285499653903"/>
    <n v="2800"/>
    <n v="356"/>
    <n v="120"/>
    <x v="15"/>
    <x v="14"/>
  </r>
  <r>
    <s v="FL1897"/>
    <s v="New York"/>
    <s v="Paris"/>
    <x v="4"/>
    <n v="32000"/>
    <n v="-53.561020554438898"/>
    <n v="65.055248297193103"/>
    <n v="3500"/>
    <n v="300"/>
    <n v="50"/>
    <x v="13"/>
    <x v="12"/>
  </r>
  <r>
    <s v="FL1898"/>
    <s v="New York"/>
    <s v="Paris"/>
    <x v="1"/>
    <n v="32000"/>
    <n v="-146.24045054747401"/>
    <n v="-65.285994111197397"/>
    <n v="2847"/>
    <n v="300"/>
    <n v="200"/>
    <x v="13"/>
    <x v="20"/>
  </r>
  <r>
    <s v="FL1899"/>
    <s v="Chicago"/>
    <s v="Tokyo"/>
    <x v="2"/>
    <n v="30000"/>
    <n v="-4.9930253226273198"/>
    <n v="81.429615431770401"/>
    <n v="2583"/>
    <n v="397"/>
    <n v="133"/>
    <x v="2"/>
    <x v="2"/>
  </r>
  <r>
    <s v="FL1900"/>
    <s v="Chicago"/>
    <s v="Sydney"/>
    <x v="1"/>
    <n v="30000"/>
    <n v="151.466274123349"/>
    <n v="-30.811928787250299"/>
    <n v="2678"/>
    <n v="356"/>
    <n v="137"/>
    <x v="17"/>
    <x v="14"/>
  </r>
  <r>
    <s v="FL1901"/>
    <s v="New York"/>
    <s v="Sydney"/>
    <x v="1"/>
    <n v="30000"/>
    <n v="-165.57871714174999"/>
    <n v="29.216472971529601"/>
    <n v="2800"/>
    <n v="356"/>
    <n v="120"/>
    <x v="15"/>
    <x v="14"/>
  </r>
  <r>
    <s v="FL1902"/>
    <s v="Miami"/>
    <s v="Paris"/>
    <x v="2"/>
    <n v="30000"/>
    <n v="-75.074071142234203"/>
    <n v="45.328526272202602"/>
    <n v="2718"/>
    <n v="354"/>
    <n v="115"/>
    <x v="7"/>
    <x v="8"/>
  </r>
  <r>
    <s v="FL1903"/>
    <s v="Houston"/>
    <s v="London"/>
    <x v="2"/>
    <n v="30000"/>
    <n v="-105.285262965947"/>
    <n v="56.150322234819001"/>
    <n v="2846"/>
    <n v="374"/>
    <n v="138"/>
    <x v="8"/>
    <x v="9"/>
  </r>
  <r>
    <s v="FL1904"/>
    <s v="Houston"/>
    <s v="Tokyo"/>
    <x v="0"/>
    <n v="30000"/>
    <n v="-94.267204680349295"/>
    <n v="80.234946400667397"/>
    <n v="2550"/>
    <n v="397"/>
    <n v="120"/>
    <x v="0"/>
    <x v="0"/>
  </r>
  <r>
    <s v="FL1905"/>
    <s v="Los Angeles"/>
    <s v="Sydney"/>
    <x v="1"/>
    <n v="35000"/>
    <n v="147.03643867657499"/>
    <n v="-33.674481354811903"/>
    <n v="3500"/>
    <n v="300"/>
    <n v="145"/>
    <x v="4"/>
    <x v="20"/>
  </r>
  <r>
    <s v="FL1906"/>
    <s v="Miami"/>
    <s v="Paris"/>
    <x v="6"/>
    <n v="35000"/>
    <n v="-11.4951404756555"/>
    <n v="64.531161819279802"/>
    <n v="3000"/>
    <n v="300"/>
    <n v="200"/>
    <x v="7"/>
    <x v="37"/>
  </r>
  <r>
    <s v="FL1907"/>
    <s v="Chicago"/>
    <s v="Sydney"/>
    <x v="1"/>
    <n v="30000"/>
    <n v="-12.132211341665201"/>
    <n v="-66.296357381482693"/>
    <n v="2678"/>
    <n v="356"/>
    <n v="137"/>
    <x v="17"/>
    <x v="14"/>
  </r>
  <r>
    <s v="FL1908"/>
    <s v="New York"/>
    <s v="Tokyo"/>
    <x v="5"/>
    <n v="30000"/>
    <n v="93.807231283901601"/>
    <n v="36.907363143646698"/>
    <n v="2500"/>
    <n v="450"/>
    <n v="200"/>
    <x v="24"/>
    <x v="16"/>
  </r>
  <r>
    <s v="FL1909"/>
    <s v="Los Angeles"/>
    <s v="Tokyo"/>
    <x v="0"/>
    <n v="30000"/>
    <n v="-124.382806558227"/>
    <n v="43.555991312517399"/>
    <n v="2000"/>
    <n v="600"/>
    <n v="100"/>
    <x v="23"/>
    <x v="24"/>
  </r>
  <r>
    <s v="FL1910"/>
    <s v="Houston"/>
    <s v="Dubai"/>
    <x v="2"/>
    <n v="30000"/>
    <n v="-4.5844725239817299"/>
    <n v="31.990183416237699"/>
    <n v="2500"/>
    <n v="402"/>
    <n v="111"/>
    <x v="11"/>
    <x v="19"/>
  </r>
  <r>
    <s v="FL1911"/>
    <s v="Chicago"/>
    <s v="Paris"/>
    <x v="1"/>
    <n v="30000"/>
    <n v="-25.205322916418499"/>
    <n v="-44.583347495672498"/>
    <n v="2928"/>
    <n v="450"/>
    <n v="121"/>
    <x v="5"/>
    <x v="26"/>
  </r>
  <r>
    <s v="FL1912"/>
    <s v="Chicago"/>
    <s v="Tokyo"/>
    <x v="5"/>
    <n v="30000"/>
    <n v="34.887848596796204"/>
    <n v="67.147766462736598"/>
    <n v="3000"/>
    <n v="397"/>
    <n v="200"/>
    <x v="2"/>
    <x v="17"/>
  </r>
  <r>
    <s v="FL1913"/>
    <s v="New York"/>
    <s v="Dubai"/>
    <x v="3"/>
    <n v="30000"/>
    <n v="179.840773170158"/>
    <n v="-59.605476593328902"/>
    <n v="2588"/>
    <n v="300"/>
    <n v="50"/>
    <x v="20"/>
    <x v="36"/>
  </r>
  <r>
    <s v="FL1914"/>
    <s v="Houston"/>
    <s v="Dubai"/>
    <x v="2"/>
    <n v="30000"/>
    <n v="97.001601869536998"/>
    <n v="-80.345737526250403"/>
    <n v="2500"/>
    <n v="402"/>
    <n v="111"/>
    <x v="11"/>
    <x v="19"/>
  </r>
  <r>
    <s v="FL1915"/>
    <s v="Miami"/>
    <s v="Sydney"/>
    <x v="0"/>
    <n v="30000"/>
    <n v="-36.768346913726198"/>
    <n v="39.143698310144202"/>
    <n v="3000"/>
    <n v="450"/>
    <n v="105"/>
    <x v="3"/>
    <x v="56"/>
  </r>
  <r>
    <s v="FL1916"/>
    <s v="Chicago"/>
    <s v="Sydney"/>
    <x v="1"/>
    <n v="30000"/>
    <n v="117.91909881865701"/>
    <n v="-4.4143712581079297"/>
    <n v="2678"/>
    <n v="356"/>
    <n v="137"/>
    <x v="17"/>
    <x v="14"/>
  </r>
  <r>
    <s v="FL1917"/>
    <s v="New York"/>
    <s v="Dubai"/>
    <x v="7"/>
    <n v="30000"/>
    <n v="-118.544989207507"/>
    <n v="62.837643592561697"/>
    <n v="2588"/>
    <n v="402"/>
    <n v="134"/>
    <x v="20"/>
    <x v="23"/>
  </r>
  <r>
    <s v="FL1918"/>
    <s v="Miami"/>
    <s v="Sydney"/>
    <x v="0"/>
    <n v="30000"/>
    <n v="-169.033072928774"/>
    <n v="-20.988514609513398"/>
    <n v="2931"/>
    <n v="356"/>
    <n v="105"/>
    <x v="3"/>
    <x v="3"/>
  </r>
  <r>
    <s v="FL1919"/>
    <s v="Houston"/>
    <s v="Tokyo"/>
    <x v="6"/>
    <n v="32000"/>
    <n v="-106.398585912862"/>
    <n v="-59.709854068611698"/>
    <n v="2000"/>
    <n v="300"/>
    <n v="100"/>
    <x v="0"/>
    <x v="37"/>
  </r>
  <r>
    <s v="FL1920"/>
    <s v="Chicago"/>
    <s v="London"/>
    <x v="5"/>
    <n v="32000"/>
    <n v="-57.451839798866501"/>
    <n v="60.559594644576499"/>
    <n v="2678"/>
    <n v="150"/>
    <n v="50"/>
    <x v="6"/>
    <x v="11"/>
  </r>
  <r>
    <s v="FL1921"/>
    <s v="Miami"/>
    <s v="Tokyo"/>
    <x v="5"/>
    <n v="30000"/>
    <n v="3.8090726854415502"/>
    <n v="8.8037336952128999"/>
    <n v="3000"/>
    <n v="397"/>
    <n v="150"/>
    <x v="1"/>
    <x v="17"/>
  </r>
  <r>
    <s v="FL1922"/>
    <s v="Miami"/>
    <s v="Dubai"/>
    <x v="1"/>
    <n v="30000"/>
    <n v="41.4464905948319"/>
    <n v="-55.944757369736102"/>
    <n v="2700"/>
    <n v="402"/>
    <n v="128"/>
    <x v="21"/>
    <x v="34"/>
  </r>
  <r>
    <s v="FL1923"/>
    <s v="Miami"/>
    <s v="Dubai"/>
    <x v="1"/>
    <n v="30000"/>
    <n v="147.81805819719199"/>
    <n v="39.669119745560202"/>
    <n v="2700"/>
    <n v="402"/>
    <n v="128"/>
    <x v="21"/>
    <x v="34"/>
  </r>
  <r>
    <s v="FL1924"/>
    <s v="Chicago"/>
    <s v="Tokyo"/>
    <x v="2"/>
    <n v="30000"/>
    <n v="3.5474434381647799"/>
    <n v="2.0004549281100998"/>
    <n v="2583"/>
    <n v="397"/>
    <n v="133"/>
    <x v="2"/>
    <x v="2"/>
  </r>
  <r>
    <s v="FL1925"/>
    <s v="Chicago"/>
    <s v="Sydney"/>
    <x v="1"/>
    <n v="30000"/>
    <n v="0.45923206526256899"/>
    <n v="18.7763368032576"/>
    <n v="2678"/>
    <n v="356"/>
    <n v="137"/>
    <x v="17"/>
    <x v="14"/>
  </r>
  <r>
    <s v="FL1926"/>
    <s v="Los Angeles"/>
    <s v="Sydney"/>
    <x v="1"/>
    <n v="35000"/>
    <n v="-161.91251646372601"/>
    <n v="-7.0382991228152596"/>
    <n v="3000"/>
    <n v="150"/>
    <n v="50"/>
    <x v="4"/>
    <x v="10"/>
  </r>
  <r>
    <s v="FL1927"/>
    <s v="Houston"/>
    <s v="Dubai"/>
    <x v="5"/>
    <n v="30000"/>
    <n v="-167.43184104375899"/>
    <n v="59.167617087241098"/>
    <n v="3000"/>
    <n v="450"/>
    <n v="150"/>
    <x v="11"/>
    <x v="16"/>
  </r>
  <r>
    <s v="FL1928"/>
    <s v="New York"/>
    <s v="Paris"/>
    <x v="1"/>
    <n v="30000"/>
    <n v="18.417586289893901"/>
    <n v="59.321288822949001"/>
    <n v="2000"/>
    <n v="450"/>
    <n v="122"/>
    <x v="13"/>
    <x v="26"/>
  </r>
  <r>
    <s v="FL1929"/>
    <s v="Miami"/>
    <s v="Sydney"/>
    <x v="1"/>
    <n v="30000"/>
    <n v="-22.255699230596001"/>
    <n v="37.689987928389499"/>
    <n v="3500"/>
    <n v="300"/>
    <n v="105"/>
    <x v="3"/>
    <x v="20"/>
  </r>
  <r>
    <s v="FL1930"/>
    <s v="Los Angeles"/>
    <s v="Tokyo"/>
    <x v="1"/>
    <n v="32000"/>
    <n v="122.104942192908"/>
    <n v="-71.027752068636801"/>
    <n v="2000"/>
    <n v="600"/>
    <n v="50"/>
    <x v="23"/>
    <x v="13"/>
  </r>
  <r>
    <s v="FL1931"/>
    <s v="New York"/>
    <s v="Sydney"/>
    <x v="1"/>
    <n v="30000"/>
    <n v="-122.15534950373601"/>
    <n v="60.993695142732399"/>
    <n v="3000"/>
    <n v="450"/>
    <n v="150"/>
    <x v="15"/>
    <x v="26"/>
  </r>
  <r>
    <s v="FL1932"/>
    <s v="Los Angeles"/>
    <s v="Tokyo"/>
    <x v="1"/>
    <n v="35000"/>
    <n v="-171.010201637862"/>
    <n v="30.782336495923801"/>
    <n v="2000"/>
    <n v="450"/>
    <n v="150"/>
    <x v="23"/>
    <x v="26"/>
  </r>
  <r>
    <s v="FL1933"/>
    <s v="Chicago"/>
    <s v="Dubai"/>
    <x v="4"/>
    <n v="32000"/>
    <n v="-18.3460435451547"/>
    <n v="35.464349880773902"/>
    <n v="2000"/>
    <n v="600"/>
    <n v="50"/>
    <x v="9"/>
    <x v="51"/>
  </r>
  <r>
    <s v="FL1934"/>
    <s v="Miami"/>
    <s v="Sydney"/>
    <x v="0"/>
    <n v="30000"/>
    <n v="-94.507719569187302"/>
    <n v="-24.663088727303101"/>
    <n v="2931"/>
    <n v="356"/>
    <n v="105"/>
    <x v="3"/>
    <x v="3"/>
  </r>
  <r>
    <s v="FL1935"/>
    <s v="New York"/>
    <s v="Tokyo"/>
    <x v="1"/>
    <n v="30000"/>
    <n v="-162.138825598019"/>
    <n v="68.270320108261203"/>
    <n v="2954"/>
    <n v="397"/>
    <n v="128"/>
    <x v="24"/>
    <x v="1"/>
  </r>
  <r>
    <s v="FL1936"/>
    <s v="New York"/>
    <s v="Dubai"/>
    <x v="7"/>
    <n v="30000"/>
    <n v="80.855383265146401"/>
    <n v="40.5668880422743"/>
    <n v="2588"/>
    <n v="402"/>
    <n v="134"/>
    <x v="20"/>
    <x v="23"/>
  </r>
  <r>
    <s v="FL1937"/>
    <s v="New York"/>
    <s v="Paris"/>
    <x v="6"/>
    <n v="35000"/>
    <n v="-139.826520015391"/>
    <n v="-69.733716024744993"/>
    <n v="3500"/>
    <n v="300"/>
    <n v="50"/>
    <x v="13"/>
    <x v="37"/>
  </r>
  <r>
    <s v="FL1938"/>
    <s v="New York"/>
    <s v="Tokyo"/>
    <x v="1"/>
    <n v="30000"/>
    <n v="38.995020002797801"/>
    <n v="-16.599953806890699"/>
    <n v="2954"/>
    <n v="397"/>
    <n v="128"/>
    <x v="24"/>
    <x v="1"/>
  </r>
  <r>
    <s v="FL1939"/>
    <s v="New York"/>
    <s v="Paris"/>
    <x v="1"/>
    <n v="30000"/>
    <n v="-78.822089939919906"/>
    <n v="69.5484651528255"/>
    <n v="2847"/>
    <n v="354"/>
    <n v="122"/>
    <x v="13"/>
    <x v="22"/>
  </r>
  <r>
    <s v="FL1940"/>
    <s v="Los Angeles"/>
    <s v="Paris"/>
    <x v="1"/>
    <n v="32000"/>
    <n v="-117.541421872192"/>
    <n v="-81.504593694471794"/>
    <n v="3500"/>
    <n v="354"/>
    <n v="50"/>
    <x v="18"/>
    <x v="22"/>
  </r>
  <r>
    <s v="FL1941"/>
    <s v="Miami"/>
    <s v="London"/>
    <x v="2"/>
    <n v="30000"/>
    <n v="-43.289451749045703"/>
    <n v="83.054991535568902"/>
    <n v="2615"/>
    <n v="374"/>
    <n v="121"/>
    <x v="14"/>
    <x v="9"/>
  </r>
  <r>
    <s v="FL1942"/>
    <s v="Chicago"/>
    <s v="Sydney"/>
    <x v="1"/>
    <n v="30000"/>
    <n v="108.520479440263"/>
    <n v="32.249262297521298"/>
    <n v="2678"/>
    <n v="356"/>
    <n v="137"/>
    <x v="17"/>
    <x v="14"/>
  </r>
  <r>
    <s v="FL1943"/>
    <s v="Chicago"/>
    <s v="Tokyo"/>
    <x v="2"/>
    <n v="35000"/>
    <n v="-38.846312314353803"/>
    <n v="23.6476759758078"/>
    <n v="2500"/>
    <n v="450"/>
    <n v="133"/>
    <x v="2"/>
    <x v="7"/>
  </r>
  <r>
    <s v="FL1944"/>
    <s v="Chicago"/>
    <s v="Paris"/>
    <x v="1"/>
    <n v="30000"/>
    <n v="90.277073715980094"/>
    <n v="-41.299333832161601"/>
    <n v="3000"/>
    <n v="300"/>
    <n v="150"/>
    <x v="5"/>
    <x v="20"/>
  </r>
  <r>
    <s v="FL1945"/>
    <s v="Chicago"/>
    <s v="London"/>
    <x v="6"/>
    <n v="30000"/>
    <n v="-134.82493315230599"/>
    <n v="-45.2174780269481"/>
    <n v="3000"/>
    <n v="600"/>
    <n v="100"/>
    <x v="6"/>
    <x v="26"/>
  </r>
  <r>
    <s v="FL1946"/>
    <s v="Los Angeles"/>
    <s v="Dubai"/>
    <x v="7"/>
    <n v="30000"/>
    <n v="98.197711079428501"/>
    <n v="79.570479507947198"/>
    <n v="2794"/>
    <n v="402"/>
    <n v="113"/>
    <x v="22"/>
    <x v="23"/>
  </r>
  <r>
    <s v="FL1947"/>
    <s v="Houston"/>
    <s v="Tokyo"/>
    <x v="0"/>
    <n v="30000"/>
    <n v="-94.704003033606497"/>
    <n v="-36.310958237857903"/>
    <n v="2550"/>
    <n v="397"/>
    <n v="120"/>
    <x v="0"/>
    <x v="0"/>
  </r>
  <r>
    <s v="FL1948"/>
    <s v="Miami"/>
    <s v="Paris"/>
    <x v="2"/>
    <n v="30000"/>
    <n v="63.861526759994199"/>
    <n v="49.590953409419903"/>
    <n v="2718"/>
    <n v="354"/>
    <n v="115"/>
    <x v="7"/>
    <x v="8"/>
  </r>
  <r>
    <s v="FL1949"/>
    <s v="New York"/>
    <s v="Sydney"/>
    <x v="1"/>
    <n v="30000"/>
    <n v="23.681359742758701"/>
    <n v="-19.238076322725799"/>
    <n v="2800"/>
    <n v="356"/>
    <n v="120"/>
    <x v="15"/>
    <x v="14"/>
  </r>
  <r>
    <s v="FL1950"/>
    <s v="Houston"/>
    <s v="London"/>
    <x v="2"/>
    <n v="30000"/>
    <n v="154.49209819620799"/>
    <n v="-64.934267258753295"/>
    <n v="2846"/>
    <n v="374"/>
    <n v="138"/>
    <x v="8"/>
    <x v="9"/>
  </r>
  <r>
    <s v="FL1951"/>
    <s v="Chicago"/>
    <s v="Paris"/>
    <x v="0"/>
    <n v="35000"/>
    <n v="-40.563893528887"/>
    <n v="-88.0712464148354"/>
    <n v="3500"/>
    <n v="300"/>
    <n v="200"/>
    <x v="5"/>
    <x v="11"/>
  </r>
  <r>
    <s v="FL1952"/>
    <s v="Houston"/>
    <s v="Sydney"/>
    <x v="5"/>
    <n v="30000"/>
    <n v="-156.180532019601"/>
    <n v="7.9663206627451499"/>
    <n v="2500"/>
    <n v="150"/>
    <n v="200"/>
    <x v="12"/>
    <x v="11"/>
  </r>
  <r>
    <s v="FL1953"/>
    <s v="Miami"/>
    <s v="Paris"/>
    <x v="1"/>
    <n v="30000"/>
    <n v="-173.10402520154901"/>
    <n v="85.640187338807905"/>
    <n v="2000"/>
    <n v="300"/>
    <n v="115"/>
    <x v="7"/>
    <x v="20"/>
  </r>
  <r>
    <s v="FL1954"/>
    <s v="New York"/>
    <s v="Tokyo"/>
    <x v="1"/>
    <n v="32000"/>
    <n v="117.669081950191"/>
    <n v="-23.555485114343199"/>
    <n v="2000"/>
    <n v="397"/>
    <n v="100"/>
    <x v="24"/>
    <x v="1"/>
  </r>
  <r>
    <s v="FL1955"/>
    <s v="New York"/>
    <s v="Tokyo"/>
    <x v="1"/>
    <n v="30000"/>
    <n v="8.9048295581155799"/>
    <n v="-25.705379881251901"/>
    <n v="2954"/>
    <n v="150"/>
    <n v="128"/>
    <x v="24"/>
    <x v="10"/>
  </r>
  <r>
    <s v="FL1956"/>
    <s v="Miami"/>
    <s v="Tokyo"/>
    <x v="1"/>
    <n v="30000"/>
    <n v="99.087858660581702"/>
    <n v="-28.0635087871004"/>
    <n v="2729"/>
    <n v="300"/>
    <n v="50"/>
    <x v="1"/>
    <x v="20"/>
  </r>
  <r>
    <s v="FL1957"/>
    <s v="Miami"/>
    <s v="London"/>
    <x v="4"/>
    <n v="30000"/>
    <n v="-95.606783995854698"/>
    <n v="3.6978907148745201"/>
    <n v="3500"/>
    <n v="300"/>
    <n v="200"/>
    <x v="14"/>
    <x v="12"/>
  </r>
  <r>
    <s v="FL1958"/>
    <s v="Chicago"/>
    <s v="Tokyo"/>
    <x v="1"/>
    <n v="35000"/>
    <n v="-55.769851615235901"/>
    <n v="-10.6803209836271"/>
    <n v="2583"/>
    <n v="600"/>
    <n v="50"/>
    <x v="2"/>
    <x v="13"/>
  </r>
  <r>
    <s v="FL1959"/>
    <s v="New York"/>
    <s v="Sydney"/>
    <x v="1"/>
    <n v="30000"/>
    <n v="-169.16260600392499"/>
    <n v="68.384632810862598"/>
    <n v="2800"/>
    <n v="356"/>
    <n v="120"/>
    <x v="15"/>
    <x v="14"/>
  </r>
  <r>
    <s v="FL1960"/>
    <s v="Houston"/>
    <s v="Paris"/>
    <x v="6"/>
    <n v="30000"/>
    <n v="166.13723684668"/>
    <n v="0.99374251022825899"/>
    <n v="2000"/>
    <n v="600"/>
    <n v="100"/>
    <x v="19"/>
    <x v="26"/>
  </r>
  <r>
    <s v="FL1961"/>
    <s v="Los Angeles"/>
    <s v="Dubai"/>
    <x v="6"/>
    <n v="30000"/>
    <n v="60.432446412292798"/>
    <n v="1.3964108739423899"/>
    <n v="2000"/>
    <n v="150"/>
    <n v="50"/>
    <x v="22"/>
    <x v="32"/>
  </r>
  <r>
    <s v="FL1962"/>
    <s v="Los Angeles"/>
    <s v="Sydney"/>
    <x v="3"/>
    <n v="35000"/>
    <n v="155.95383159335"/>
    <n v="-65.093112950299798"/>
    <n v="3000"/>
    <n v="600"/>
    <n v="200"/>
    <x v="4"/>
    <x v="50"/>
  </r>
  <r>
    <s v="FL1963"/>
    <s v="Miami"/>
    <s v="Sydney"/>
    <x v="0"/>
    <n v="30000"/>
    <n v="-84.421293325533995"/>
    <n v="86.893117363869493"/>
    <n v="2931"/>
    <n v="356"/>
    <n v="105"/>
    <x v="3"/>
    <x v="3"/>
  </r>
  <r>
    <s v="FL1964"/>
    <s v="Chicago"/>
    <s v="Tokyo"/>
    <x v="5"/>
    <n v="35000"/>
    <n v="40.126900041237903"/>
    <n v="-45.0048796436107"/>
    <n v="3000"/>
    <n v="450"/>
    <n v="200"/>
    <x v="2"/>
    <x v="16"/>
  </r>
  <r>
    <s v="FL1965"/>
    <s v="Los Angeles"/>
    <s v="London"/>
    <x v="1"/>
    <n v="35000"/>
    <n v="64.259988585349603"/>
    <n v="-76.794467857271499"/>
    <n v="2760"/>
    <n v="450"/>
    <n v="100"/>
    <x v="10"/>
    <x v="26"/>
  </r>
  <r>
    <s v="FL1966"/>
    <s v="New York"/>
    <s v="Paris"/>
    <x v="6"/>
    <n v="30000"/>
    <n v="-65.682107907268204"/>
    <n v="29.366324815537599"/>
    <n v="2500"/>
    <n v="150"/>
    <n v="200"/>
    <x v="13"/>
    <x v="32"/>
  </r>
  <r>
    <s v="FL1967"/>
    <s v="Miami"/>
    <s v="London"/>
    <x v="5"/>
    <n v="30000"/>
    <n v="125.319324605627"/>
    <n v="17.165946628237101"/>
    <n v="3000"/>
    <n v="450"/>
    <n v="150"/>
    <x v="14"/>
    <x v="16"/>
  </r>
  <r>
    <s v="FL1968"/>
    <s v="Houston"/>
    <s v="Paris"/>
    <x v="6"/>
    <n v="35000"/>
    <n v="160.978126644089"/>
    <n v="-15.273782281305801"/>
    <n v="2647"/>
    <n v="600"/>
    <n v="113"/>
    <x v="19"/>
    <x v="26"/>
  </r>
  <r>
    <s v="FL1969"/>
    <s v="Miami"/>
    <s v="Paris"/>
    <x v="1"/>
    <n v="30000"/>
    <n v="138.54784237056199"/>
    <n v="-14.005397901478"/>
    <n v="2500"/>
    <n v="150"/>
    <n v="150"/>
    <x v="7"/>
    <x v="10"/>
  </r>
  <r>
    <s v="FL1970"/>
    <s v="Houston"/>
    <s v="London"/>
    <x v="6"/>
    <n v="30000"/>
    <n v="86.064111338174101"/>
    <n v="51.3115057883576"/>
    <n v="2500"/>
    <n v="374"/>
    <n v="150"/>
    <x v="8"/>
    <x v="18"/>
  </r>
  <r>
    <s v="FL1971"/>
    <s v="Miami"/>
    <s v="Sydney"/>
    <x v="0"/>
    <n v="35000"/>
    <n v="-80.1127152990165"/>
    <n v="-54.771724782063202"/>
    <n v="3500"/>
    <n v="150"/>
    <n v="100"/>
    <x v="3"/>
    <x v="59"/>
  </r>
  <r>
    <s v="FL1972"/>
    <s v="Miami"/>
    <s v="Paris"/>
    <x v="2"/>
    <n v="30000"/>
    <n v="-78.618224841972605"/>
    <n v="57.6455974100801"/>
    <n v="2500"/>
    <n v="150"/>
    <n v="50"/>
    <x v="7"/>
    <x v="31"/>
  </r>
  <r>
    <s v="FL1973"/>
    <s v="Miami"/>
    <s v="London"/>
    <x v="2"/>
    <n v="30000"/>
    <n v="166.80971536057399"/>
    <n v="26.774480501103302"/>
    <n v="2615"/>
    <n v="374"/>
    <n v="121"/>
    <x v="14"/>
    <x v="9"/>
  </r>
  <r>
    <s v="FL1974"/>
    <s v="Houston"/>
    <s v="Paris"/>
    <x v="1"/>
    <n v="30000"/>
    <n v="-176.297581463151"/>
    <n v="-14.5854407196856"/>
    <n v="2647"/>
    <n v="354"/>
    <n v="113"/>
    <x v="19"/>
    <x v="22"/>
  </r>
  <r>
    <s v="FL1975"/>
    <s v="Houston"/>
    <s v="Dubai"/>
    <x v="2"/>
    <n v="30000"/>
    <n v="77.777990367171995"/>
    <n v="-7.5548490149036498"/>
    <n v="2500"/>
    <n v="402"/>
    <n v="111"/>
    <x v="11"/>
    <x v="19"/>
  </r>
  <r>
    <s v="FL1976"/>
    <s v="Miami"/>
    <s v="Sydney"/>
    <x v="5"/>
    <n v="32000"/>
    <n v="74.248618519894407"/>
    <n v="-43.803502706502698"/>
    <n v="2931"/>
    <n v="450"/>
    <n v="200"/>
    <x v="3"/>
    <x v="16"/>
  </r>
  <r>
    <s v="FL1977"/>
    <s v="Los Angeles"/>
    <s v="Tokyo"/>
    <x v="0"/>
    <n v="30000"/>
    <n v="44.168234741927101"/>
    <n v="45.380579885455496"/>
    <n v="2586"/>
    <n v="397"/>
    <n v="119"/>
    <x v="23"/>
    <x v="0"/>
  </r>
  <r>
    <s v="FL1978"/>
    <s v="Chicago"/>
    <s v="Paris"/>
    <x v="0"/>
    <n v="30000"/>
    <n v="176.43918459127201"/>
    <n v="2.3174536149481901"/>
    <n v="2928"/>
    <n v="354"/>
    <n v="121"/>
    <x v="5"/>
    <x v="5"/>
  </r>
  <r>
    <s v="FL1979"/>
    <s v="Chicago"/>
    <s v="Dubai"/>
    <x v="5"/>
    <n v="30000"/>
    <n v="-67.723403125058894"/>
    <n v="-32.246182305028199"/>
    <n v="3500"/>
    <n v="600"/>
    <n v="50"/>
    <x v="9"/>
    <x v="33"/>
  </r>
  <r>
    <s v="FL1980"/>
    <s v="Chicago"/>
    <s v="Tokyo"/>
    <x v="6"/>
    <n v="35000"/>
    <n v="-57.610129034430699"/>
    <n v="17.289020836971101"/>
    <n v="2000"/>
    <n v="300"/>
    <n v="200"/>
    <x v="2"/>
    <x v="37"/>
  </r>
  <r>
    <s v="FL1981"/>
    <s v="Houston"/>
    <s v="Tokyo"/>
    <x v="5"/>
    <n v="30000"/>
    <n v="-151.58181493923999"/>
    <n v="89.232201369238098"/>
    <n v="2500"/>
    <n v="150"/>
    <n v="100"/>
    <x v="0"/>
    <x v="11"/>
  </r>
  <r>
    <s v="FL1982"/>
    <s v="Houston"/>
    <s v="Paris"/>
    <x v="1"/>
    <n v="30000"/>
    <n v="-20.592670844254499"/>
    <n v="-11.6527896618203"/>
    <n v="2500"/>
    <n v="450"/>
    <n v="113"/>
    <x v="19"/>
    <x v="26"/>
  </r>
  <r>
    <s v="FL1983"/>
    <s v="Los Angeles"/>
    <s v="London"/>
    <x v="1"/>
    <n v="30000"/>
    <n v="-86.022530555454694"/>
    <n v="75.724452140151499"/>
    <n v="2000"/>
    <n v="600"/>
    <n v="131"/>
    <x v="10"/>
    <x v="13"/>
  </r>
  <r>
    <s v="FL1984"/>
    <s v="Chicago"/>
    <s v="Paris"/>
    <x v="3"/>
    <n v="32000"/>
    <n v="-56.380787216048098"/>
    <n v="-27.896968813578098"/>
    <n v="3500"/>
    <n v="300"/>
    <n v="100"/>
    <x v="5"/>
    <x v="36"/>
  </r>
  <r>
    <s v="FL1985"/>
    <s v="Chicago"/>
    <s v="Dubai"/>
    <x v="0"/>
    <n v="30000"/>
    <n v="120.445844492026"/>
    <n v="-80.148112753502502"/>
    <n v="2636"/>
    <n v="402"/>
    <n v="114"/>
    <x v="9"/>
    <x v="42"/>
  </r>
  <r>
    <s v="FL1986"/>
    <s v="Miami"/>
    <s v="Tokyo"/>
    <x v="1"/>
    <n v="30000"/>
    <n v="156.77442486989801"/>
    <n v="-53.236420853682802"/>
    <n v="2729"/>
    <n v="397"/>
    <n v="126"/>
    <x v="1"/>
    <x v="1"/>
  </r>
  <r>
    <s v="FL1987"/>
    <s v="Houston"/>
    <s v="Paris"/>
    <x v="1"/>
    <n v="30000"/>
    <n v="-113.136094078133"/>
    <n v="-14.6348742010168"/>
    <n v="3000"/>
    <n v="450"/>
    <n v="113"/>
    <x v="19"/>
    <x v="26"/>
  </r>
  <r>
    <s v="FL1988"/>
    <s v="Chicago"/>
    <s v="London"/>
    <x v="1"/>
    <n v="35000"/>
    <n v="-45.896784640752301"/>
    <n v="-50.465712852977603"/>
    <n v="2678"/>
    <n v="150"/>
    <n v="200"/>
    <x v="6"/>
    <x v="10"/>
  </r>
  <r>
    <s v="FL1989"/>
    <s v="Los Angeles"/>
    <s v="Paris"/>
    <x v="2"/>
    <n v="30000"/>
    <n v="154.307002361542"/>
    <n v="-89.959133120714"/>
    <n v="2882"/>
    <n v="354"/>
    <n v="125"/>
    <x v="18"/>
    <x v="8"/>
  </r>
  <r>
    <s v="FL1990"/>
    <s v="Los Angeles"/>
    <s v="Sydney"/>
    <x v="2"/>
    <n v="30000"/>
    <n v="-157.74895415188001"/>
    <n v="74.700276794554895"/>
    <n v="3000"/>
    <n v="356"/>
    <n v="145"/>
    <x v="4"/>
    <x v="4"/>
  </r>
  <r>
    <s v="FL1991"/>
    <s v="Chicago"/>
    <s v="London"/>
    <x v="1"/>
    <n v="30000"/>
    <n v="-146.75020987990399"/>
    <n v="61.898294021567203"/>
    <n v="2678"/>
    <n v="374"/>
    <n v="116"/>
    <x v="6"/>
    <x v="6"/>
  </r>
  <r>
    <s v="FL1992"/>
    <s v="Houston"/>
    <s v="Dubai"/>
    <x v="1"/>
    <n v="32000"/>
    <n v="-121.395243885757"/>
    <n v="43.612601667650502"/>
    <n v="2000"/>
    <n v="300"/>
    <n v="50"/>
    <x v="11"/>
    <x v="20"/>
  </r>
  <r>
    <s v="FL1993"/>
    <s v="Los Angeles"/>
    <s v="Tokyo"/>
    <x v="6"/>
    <n v="30000"/>
    <n v="34.276620285674902"/>
    <n v="-59.793372783714801"/>
    <n v="3500"/>
    <n v="600"/>
    <n v="100"/>
    <x v="23"/>
    <x v="26"/>
  </r>
  <r>
    <s v="FL1994"/>
    <s v="Miami"/>
    <s v="Paris"/>
    <x v="2"/>
    <n v="30000"/>
    <n v="-125.829982437841"/>
    <n v="-68.334556282202499"/>
    <n v="2718"/>
    <n v="354"/>
    <n v="115"/>
    <x v="7"/>
    <x v="8"/>
  </r>
  <r>
    <s v="FL1995"/>
    <s v="Los Angeles"/>
    <s v="London"/>
    <x v="2"/>
    <n v="30000"/>
    <n v="168.50749732226399"/>
    <n v="-77.831145094971006"/>
    <n v="2760"/>
    <n v="374"/>
    <n v="131"/>
    <x v="10"/>
    <x v="9"/>
  </r>
  <r>
    <s v="FL1996"/>
    <s v="New York"/>
    <s v="Sydney"/>
    <x v="5"/>
    <n v="30000"/>
    <n v="-19.1827701869327"/>
    <n v="40.325253979125797"/>
    <n v="2800"/>
    <n v="600"/>
    <n v="200"/>
    <x v="15"/>
    <x v="33"/>
  </r>
  <r>
    <s v="FL1997"/>
    <s v="New York"/>
    <s v="London"/>
    <x v="1"/>
    <n v="30000"/>
    <n v="0.54646572605989296"/>
    <n v="77.185432923819306"/>
    <n v="2760"/>
    <n v="374"/>
    <n v="107"/>
    <x v="16"/>
    <x v="6"/>
  </r>
  <r>
    <s v="FL1998"/>
    <s v="Houston"/>
    <s v="Sydney"/>
    <x v="1"/>
    <n v="30000"/>
    <n v="-91.202898310053698"/>
    <n v="-12.5035522356533"/>
    <n v="2500"/>
    <n v="356"/>
    <n v="127"/>
    <x v="12"/>
    <x v="14"/>
  </r>
  <r>
    <s v="FL1999"/>
    <s v="Chicago"/>
    <s v="Dubai"/>
    <x v="0"/>
    <n v="30000"/>
    <n v="-10.4543091234959"/>
    <n v="-68.554679040711306"/>
    <n v="2000"/>
    <n v="150"/>
    <n v="100"/>
    <x v="9"/>
    <x v="5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s v="Houston"/>
    <x v="0"/>
    <n v="10"/>
    <n v="30000"/>
    <n v="176.878044563119"/>
    <n v="29.144453874662101"/>
    <n v="2550"/>
    <n v="397"/>
    <n v="120"/>
    <x v="0"/>
    <n v="39.700000000000003"/>
    <n v="47640"/>
  </r>
  <r>
    <x v="1"/>
    <s v="Miami"/>
    <x v="0"/>
    <n v="9"/>
    <n v="30000"/>
    <n v="16.013639808094698"/>
    <n v="45.211884651727701"/>
    <n v="2729"/>
    <n v="397"/>
    <n v="50"/>
    <x v="1"/>
    <n v="44.111111111111114"/>
    <n v="19850"/>
  </r>
  <r>
    <x v="2"/>
    <s v="Chicago"/>
    <x v="0"/>
    <n v="8"/>
    <n v="30000"/>
    <n v="166.596606091154"/>
    <n v="45.696254887784299"/>
    <n v="2583"/>
    <n v="397"/>
    <n v="133"/>
    <x v="2"/>
    <n v="49.625"/>
    <n v="52801"/>
  </r>
  <r>
    <x v="3"/>
    <s v="Miami"/>
    <x v="0"/>
    <n v="9"/>
    <n v="30000"/>
    <n v="-152.78218537796999"/>
    <n v="14.020400284935899"/>
    <n v="2729"/>
    <n v="397"/>
    <n v="126"/>
    <x v="1"/>
    <n v="44.111111111111114"/>
    <n v="50022"/>
  </r>
  <r>
    <x v="4"/>
    <s v="Miami"/>
    <x v="1"/>
    <n v="10"/>
    <n v="35000"/>
    <n v="-48.354930625906299"/>
    <n v="72.784759498894303"/>
    <n v="3000"/>
    <n v="356"/>
    <n v="105"/>
    <x v="3"/>
    <n v="35.6"/>
    <n v="37380"/>
  </r>
  <r>
    <x v="5"/>
    <s v="Los Angeles"/>
    <x v="1"/>
    <n v="8"/>
    <n v="30000"/>
    <n v="-98.862743517564297"/>
    <n v="57.1334125150997"/>
    <n v="3000"/>
    <n v="356"/>
    <n v="145"/>
    <x v="4"/>
    <n v="44.5"/>
    <n v="51620"/>
  </r>
  <r>
    <x v="6"/>
    <s v="Chicago"/>
    <x v="2"/>
    <n v="10"/>
    <n v="30000"/>
    <n v="-109.50008971166299"/>
    <n v="46.268660645752597"/>
    <n v="2928"/>
    <n v="354"/>
    <n v="121"/>
    <x v="5"/>
    <n v="35.4"/>
    <n v="42834"/>
  </r>
  <r>
    <x v="7"/>
    <s v="Chicago"/>
    <x v="3"/>
    <n v="9"/>
    <n v="30000"/>
    <n v="-129.31093839863701"/>
    <n v="-79.991006097517101"/>
    <n v="2678"/>
    <n v="374"/>
    <n v="116"/>
    <x v="6"/>
    <n v="41.555555555555557"/>
    <n v="43384"/>
  </r>
  <r>
    <x v="8"/>
    <s v="Chicago"/>
    <x v="0"/>
    <n v="8"/>
    <n v="30000"/>
    <n v="44.068910963758803"/>
    <n v="-88.7619668004631"/>
    <n v="2500"/>
    <n v="450"/>
    <n v="100"/>
    <x v="2"/>
    <n v="56.25"/>
    <n v="45000"/>
  </r>
  <r>
    <x v="9"/>
    <s v="Miami"/>
    <x v="2"/>
    <n v="8"/>
    <n v="30000"/>
    <n v="101.27586806903"/>
    <n v="-51.759490104814901"/>
    <n v="2718"/>
    <n v="354"/>
    <n v="115"/>
    <x v="7"/>
    <n v="44.25"/>
    <n v="40710"/>
  </r>
  <r>
    <x v="10"/>
    <s v="Houston"/>
    <x v="3"/>
    <n v="8"/>
    <n v="30000"/>
    <n v="28.187423791329799"/>
    <n v="29.4342469044214"/>
    <n v="2846"/>
    <n v="374"/>
    <n v="138"/>
    <x v="8"/>
    <n v="46.75"/>
    <n v="51612"/>
  </r>
  <r>
    <x v="11"/>
    <s v="Chicago"/>
    <x v="4"/>
    <n v="9"/>
    <n v="30000"/>
    <n v="-127.093424548244"/>
    <n v="-15.984452001141801"/>
    <n v="3500"/>
    <n v="150"/>
    <n v="114"/>
    <x v="9"/>
    <n v="16.666666666666668"/>
    <n v="17100"/>
  </r>
  <r>
    <x v="12"/>
    <s v="Miami"/>
    <x v="1"/>
    <n v="15"/>
    <n v="35000"/>
    <n v="112.00455717605"/>
    <n v="-17.566873326123901"/>
    <n v="2500"/>
    <n v="450"/>
    <n v="50"/>
    <x v="3"/>
    <n v="30"/>
    <n v="22500"/>
  </r>
  <r>
    <x v="13"/>
    <s v="Los Angeles"/>
    <x v="3"/>
    <n v="7"/>
    <n v="35000"/>
    <n v="48.943694578942299"/>
    <n v="69.225639881330494"/>
    <n v="2500"/>
    <n v="300"/>
    <n v="200"/>
    <x v="10"/>
    <n v="42.857142857142854"/>
    <n v="60000"/>
  </r>
  <r>
    <x v="14"/>
    <s v="Houston"/>
    <x v="4"/>
    <n v="9"/>
    <n v="30000"/>
    <n v="-40.260345794281598"/>
    <n v="71.201312663731002"/>
    <n v="2500"/>
    <n v="600"/>
    <n v="50"/>
    <x v="11"/>
    <n v="66.666666666666671"/>
    <n v="30000"/>
  </r>
  <r>
    <x v="15"/>
    <s v="Los Angeles"/>
    <x v="3"/>
    <n v="7"/>
    <n v="32000"/>
    <n v="62.686906392982699"/>
    <n v="73.651547529645399"/>
    <n v="2000"/>
    <n v="300"/>
    <n v="100"/>
    <x v="10"/>
    <n v="42.857142857142854"/>
    <n v="30000"/>
  </r>
  <r>
    <x v="16"/>
    <s v="Houston"/>
    <x v="1"/>
    <n v="9"/>
    <n v="32000"/>
    <n v="-86.434207472580198"/>
    <n v="-33.5019462272951"/>
    <n v="2500"/>
    <n v="356"/>
    <n v="50"/>
    <x v="12"/>
    <n v="39.555555555555557"/>
    <n v="17800"/>
  </r>
  <r>
    <x v="17"/>
    <s v="Miami"/>
    <x v="1"/>
    <n v="15"/>
    <n v="30000"/>
    <n v="-55.730804942084198"/>
    <n v="34.390046293067101"/>
    <n v="2500"/>
    <n v="150"/>
    <n v="50"/>
    <x v="3"/>
    <n v="10"/>
    <n v="7500"/>
  </r>
  <r>
    <x v="18"/>
    <s v="New York"/>
    <x v="2"/>
    <n v="5"/>
    <n v="35000"/>
    <n v="150.29490352751699"/>
    <n v="-41.106027370613504"/>
    <n v="2847"/>
    <n v="450"/>
    <n v="50"/>
    <x v="13"/>
    <n v="90"/>
    <n v="22500"/>
  </r>
  <r>
    <x v="19"/>
    <s v="Houston"/>
    <x v="0"/>
    <n v="5"/>
    <n v="30000"/>
    <n v="-75.418377958288701"/>
    <n v="-55.690230046598998"/>
    <n v="2000"/>
    <n v="397"/>
    <n v="150"/>
    <x v="0"/>
    <n v="79.400000000000006"/>
    <n v="59550"/>
  </r>
  <r>
    <x v="20"/>
    <s v="Los Angeles"/>
    <x v="3"/>
    <n v="9"/>
    <n v="30000"/>
    <n v="-10.804223463142799"/>
    <n v="-56.766157677473501"/>
    <n v="2760"/>
    <n v="600"/>
    <n v="150"/>
    <x v="10"/>
    <n v="66.666666666666671"/>
    <n v="90000"/>
  </r>
  <r>
    <x v="21"/>
    <s v="Miami"/>
    <x v="3"/>
    <n v="12"/>
    <n v="30000"/>
    <n v="140.45080946256499"/>
    <n v="-28.4206282445531"/>
    <n v="3000"/>
    <n v="374"/>
    <n v="200"/>
    <x v="14"/>
    <n v="31.166666666666668"/>
    <n v="74800"/>
  </r>
  <r>
    <x v="22"/>
    <s v="Houston"/>
    <x v="4"/>
    <n v="8"/>
    <n v="30000"/>
    <n v="74.779686096309902"/>
    <n v="-12.6076284396321"/>
    <n v="2500"/>
    <n v="402"/>
    <n v="100"/>
    <x v="11"/>
    <n v="50.25"/>
    <n v="40200"/>
  </r>
  <r>
    <x v="23"/>
    <s v="New York"/>
    <x v="1"/>
    <n v="9"/>
    <n v="30000"/>
    <n v="-157.60683858070701"/>
    <n v="59.570850789912299"/>
    <n v="2800"/>
    <n v="356"/>
    <n v="120"/>
    <x v="15"/>
    <n v="39.555555555555557"/>
    <n v="42720"/>
  </r>
  <r>
    <x v="24"/>
    <s v="New York"/>
    <x v="3"/>
    <n v="12"/>
    <n v="35000"/>
    <n v="-126.970904059571"/>
    <n v="-68.419603174911799"/>
    <n v="2000"/>
    <n v="374"/>
    <n v="50"/>
    <x v="16"/>
    <n v="31.166666666666668"/>
    <n v="18700"/>
  </r>
  <r>
    <x v="25"/>
    <s v="Chicago"/>
    <x v="1"/>
    <n v="9"/>
    <n v="30000"/>
    <n v="-177.17702732211001"/>
    <n v="42.286652531081003"/>
    <n v="2678"/>
    <n v="356"/>
    <n v="137"/>
    <x v="17"/>
    <n v="39.555555555555557"/>
    <n v="48772"/>
  </r>
  <r>
    <x v="26"/>
    <s v="Chicago"/>
    <x v="3"/>
    <n v="9"/>
    <n v="30000"/>
    <n v="47.131844482498799"/>
    <n v="5.6618845540749598"/>
    <n v="3000"/>
    <n v="300"/>
    <n v="50"/>
    <x v="6"/>
    <n v="33.333333333333336"/>
    <n v="15000"/>
  </r>
  <r>
    <x v="27"/>
    <s v="Los Angeles"/>
    <x v="2"/>
    <n v="7"/>
    <n v="30000"/>
    <n v="-18.837566852249399"/>
    <n v="-38.169838318321297"/>
    <n v="2500"/>
    <n v="354"/>
    <n v="150"/>
    <x v="18"/>
    <n v="50.571428571428569"/>
    <n v="53100"/>
  </r>
  <r>
    <x v="28"/>
    <s v="Houston"/>
    <x v="0"/>
    <n v="10"/>
    <n v="30000"/>
    <n v="-131.66105367518099"/>
    <n v="-1.29247478409157"/>
    <n v="2550"/>
    <n v="397"/>
    <n v="120"/>
    <x v="0"/>
    <n v="39.700000000000003"/>
    <n v="47640"/>
  </r>
  <r>
    <x v="29"/>
    <s v="Houston"/>
    <x v="3"/>
    <n v="8"/>
    <n v="30000"/>
    <n v="164.85628358043701"/>
    <n v="-36.010427440135899"/>
    <n v="2846"/>
    <n v="374"/>
    <n v="138"/>
    <x v="8"/>
    <n v="46.75"/>
    <n v="51612"/>
  </r>
  <r>
    <x v="30"/>
    <s v="Chicago"/>
    <x v="1"/>
    <n v="9"/>
    <n v="30000"/>
    <n v="10.677500620423199"/>
    <n v="17.2947519428951"/>
    <n v="2678"/>
    <n v="356"/>
    <n v="137"/>
    <x v="17"/>
    <n v="39.555555555555557"/>
    <n v="48772"/>
  </r>
  <r>
    <x v="31"/>
    <s v="Houston"/>
    <x v="2"/>
    <n v="9"/>
    <n v="30000"/>
    <n v="-92.918414119359895"/>
    <n v="-11.908093886055999"/>
    <n v="2647"/>
    <n v="354"/>
    <n v="113"/>
    <x v="19"/>
    <n v="39.333333333333336"/>
    <n v="40002"/>
  </r>
  <r>
    <x v="32"/>
    <s v="Houston"/>
    <x v="3"/>
    <n v="5"/>
    <n v="30000"/>
    <n v="0.21728561569471999"/>
    <n v="-60.407004765801801"/>
    <n v="2500"/>
    <n v="450"/>
    <n v="200"/>
    <x v="8"/>
    <n v="90"/>
    <n v="90000"/>
  </r>
  <r>
    <x v="33"/>
    <s v="New York"/>
    <x v="4"/>
    <n v="11"/>
    <n v="30000"/>
    <n v="64.663319784638801"/>
    <n v="-69.015046579974594"/>
    <n v="2588"/>
    <n v="402"/>
    <n v="134"/>
    <x v="20"/>
    <n v="36.545454545454547"/>
    <n v="53868"/>
  </r>
  <r>
    <x v="34"/>
    <s v="Chicago"/>
    <x v="0"/>
    <n v="9"/>
    <n v="30000"/>
    <n v="-152.55388152951701"/>
    <n v="8.4052227729834197"/>
    <n v="2500"/>
    <n v="600"/>
    <n v="200"/>
    <x v="2"/>
    <n v="66.666666666666671"/>
    <n v="120000"/>
  </r>
  <r>
    <x v="35"/>
    <s v="Miami"/>
    <x v="3"/>
    <n v="5"/>
    <n v="32000"/>
    <n v="-81.106626582758906"/>
    <n v="72.434345991498603"/>
    <n v="2000"/>
    <n v="300"/>
    <n v="150"/>
    <x v="14"/>
    <n v="60"/>
    <n v="45000"/>
  </r>
  <r>
    <x v="36"/>
    <s v="Chicago"/>
    <x v="2"/>
    <n v="5"/>
    <n v="30000"/>
    <n v="110.507576718238"/>
    <n v="-28.087616419616602"/>
    <n v="3500"/>
    <n v="354"/>
    <n v="121"/>
    <x v="5"/>
    <n v="70.8"/>
    <n v="42834"/>
  </r>
  <r>
    <x v="37"/>
    <s v="Miami"/>
    <x v="4"/>
    <n v="9"/>
    <n v="30000"/>
    <n v="-14.520646655042"/>
    <n v="41.940019300072201"/>
    <n v="2000"/>
    <n v="300"/>
    <n v="200"/>
    <x v="21"/>
    <n v="33.333333333333336"/>
    <n v="60000"/>
  </r>
  <r>
    <x v="38"/>
    <s v="New York"/>
    <x v="2"/>
    <n v="9"/>
    <n v="30000"/>
    <n v="16.767771131626201"/>
    <n v="28.559043889158101"/>
    <n v="3500"/>
    <n v="450"/>
    <n v="150"/>
    <x v="13"/>
    <n v="50"/>
    <n v="67500"/>
  </r>
  <r>
    <x v="39"/>
    <s v="Los Angeles"/>
    <x v="2"/>
    <n v="8"/>
    <n v="30000"/>
    <n v="-24.1862392045911"/>
    <n v="77.679884575706595"/>
    <n v="2882"/>
    <n v="354"/>
    <n v="125"/>
    <x v="18"/>
    <n v="44.25"/>
    <n v="44250"/>
  </r>
  <r>
    <x v="40"/>
    <s v="Houston"/>
    <x v="4"/>
    <n v="12"/>
    <n v="30000"/>
    <n v="-164.19602064851799"/>
    <n v="57.776583113845398"/>
    <n v="3000"/>
    <n v="402"/>
    <n v="200"/>
    <x v="11"/>
    <n v="33.5"/>
    <n v="80400"/>
  </r>
  <r>
    <x v="41"/>
    <s v="New York"/>
    <x v="2"/>
    <n v="9"/>
    <n v="30000"/>
    <n v="-120.330079264744"/>
    <n v="11.988946602983299"/>
    <n v="2847"/>
    <n v="354"/>
    <n v="122"/>
    <x v="13"/>
    <n v="39.333333333333336"/>
    <n v="43188"/>
  </r>
  <r>
    <x v="42"/>
    <s v="Houston"/>
    <x v="4"/>
    <n v="5"/>
    <n v="35000"/>
    <n v="-19.605010052919301"/>
    <n v="28.2654896821393"/>
    <n v="2500"/>
    <n v="300"/>
    <n v="150"/>
    <x v="11"/>
    <n v="60"/>
    <n v="45000"/>
  </r>
  <r>
    <x v="43"/>
    <s v="Los Angeles"/>
    <x v="3"/>
    <n v="12"/>
    <n v="30000"/>
    <n v="-104.693232453146"/>
    <n v="71.709563985126294"/>
    <n v="2500"/>
    <n v="450"/>
    <n v="50"/>
    <x v="10"/>
    <n v="37.5"/>
    <n v="22500"/>
  </r>
  <r>
    <x v="44"/>
    <s v="Los Angeles"/>
    <x v="4"/>
    <n v="11"/>
    <n v="30000"/>
    <n v="-162.00754968251599"/>
    <n v="-18.086618774351699"/>
    <n v="2794"/>
    <n v="402"/>
    <n v="113"/>
    <x v="22"/>
    <n v="36.545454545454547"/>
    <n v="45426"/>
  </r>
  <r>
    <x v="45"/>
    <s v="New York"/>
    <x v="4"/>
    <n v="12"/>
    <n v="32000"/>
    <n v="123.713879058657"/>
    <n v="-31.1769529456001"/>
    <n v="3000"/>
    <n v="450"/>
    <n v="134"/>
    <x v="20"/>
    <n v="37.5"/>
    <n v="60300"/>
  </r>
  <r>
    <x v="46"/>
    <s v="Los Angeles"/>
    <x v="0"/>
    <n v="15"/>
    <n v="30000"/>
    <n v="173.229310499082"/>
    <n v="-88.054004945664701"/>
    <n v="3500"/>
    <n v="397"/>
    <n v="150"/>
    <x v="23"/>
    <n v="26.466666666666665"/>
    <n v="59550"/>
  </r>
  <r>
    <x v="47"/>
    <s v="Miami"/>
    <x v="4"/>
    <n v="12"/>
    <n v="32000"/>
    <n v="105.531434638826"/>
    <n v="58.779193354463601"/>
    <n v="2500"/>
    <n v="600"/>
    <n v="200"/>
    <x v="21"/>
    <n v="50"/>
    <n v="120000"/>
  </r>
  <r>
    <x v="48"/>
    <s v="Los Angeles"/>
    <x v="4"/>
    <n v="9"/>
    <n v="35000"/>
    <n v="127.36257181368001"/>
    <n v="54.176526072605697"/>
    <n v="3000"/>
    <n v="450"/>
    <n v="150"/>
    <x v="22"/>
    <n v="50"/>
    <n v="67500"/>
  </r>
  <r>
    <x v="49"/>
    <s v="Houston"/>
    <x v="3"/>
    <n v="8"/>
    <n v="30000"/>
    <n v="-92.888233085863703"/>
    <n v="-71.198186741972705"/>
    <n v="2846"/>
    <n v="374"/>
    <n v="138"/>
    <x v="8"/>
    <n v="46.75"/>
    <n v="51612"/>
  </r>
  <r>
    <x v="50"/>
    <s v="Houston"/>
    <x v="0"/>
    <n v="10"/>
    <n v="30000"/>
    <n v="165.82571118475201"/>
    <n v="13.834328603886"/>
    <n v="3500"/>
    <n v="300"/>
    <n v="100"/>
    <x v="0"/>
    <n v="30"/>
    <n v="30000"/>
  </r>
  <r>
    <x v="51"/>
    <s v="Houston"/>
    <x v="1"/>
    <n v="7"/>
    <n v="35000"/>
    <n v="-109.106746396766"/>
    <n v="-6.4832943299602697"/>
    <n v="3000"/>
    <n v="450"/>
    <n v="50"/>
    <x v="12"/>
    <n v="64.285714285714292"/>
    <n v="22500"/>
  </r>
  <r>
    <x v="52"/>
    <s v="Houston"/>
    <x v="3"/>
    <n v="9"/>
    <n v="32000"/>
    <n v="162.51473173026"/>
    <n v="-68.6323628083599"/>
    <n v="2000"/>
    <n v="450"/>
    <n v="50"/>
    <x v="8"/>
    <n v="50"/>
    <n v="22500"/>
  </r>
  <r>
    <x v="53"/>
    <s v="Miami"/>
    <x v="3"/>
    <n v="8"/>
    <n v="30000"/>
    <n v="178.134945827742"/>
    <n v="86.502280870930207"/>
    <n v="2000"/>
    <n v="150"/>
    <n v="100"/>
    <x v="14"/>
    <n v="18.75"/>
    <n v="15000"/>
  </r>
  <r>
    <x v="54"/>
    <s v="Chicago"/>
    <x v="1"/>
    <n v="9"/>
    <n v="30000"/>
    <n v="76.2202100685776"/>
    <n v="-51.354740256596003"/>
    <n v="2678"/>
    <n v="356"/>
    <n v="137"/>
    <x v="17"/>
    <n v="39.555555555555557"/>
    <n v="48772"/>
  </r>
  <r>
    <x v="55"/>
    <s v="New York"/>
    <x v="4"/>
    <n v="11"/>
    <n v="30000"/>
    <n v="173.21174344505599"/>
    <n v="-77.897847583699004"/>
    <n v="2588"/>
    <n v="402"/>
    <n v="134"/>
    <x v="20"/>
    <n v="36.545454545454547"/>
    <n v="53868"/>
  </r>
  <r>
    <x v="56"/>
    <s v="Houston"/>
    <x v="2"/>
    <n v="9"/>
    <n v="30000"/>
    <n v="25.034320644157301"/>
    <n v="17.072528310343699"/>
    <n v="2647"/>
    <n v="354"/>
    <n v="113"/>
    <x v="19"/>
    <n v="39.333333333333336"/>
    <n v="40002"/>
  </r>
  <r>
    <x v="57"/>
    <s v="Los Angeles"/>
    <x v="0"/>
    <n v="9"/>
    <n v="30000"/>
    <n v="-86.564958056607495"/>
    <n v="42.996001883945901"/>
    <n v="3500"/>
    <n v="600"/>
    <n v="50"/>
    <x v="23"/>
    <n v="66.666666666666671"/>
    <n v="30000"/>
  </r>
  <r>
    <x v="58"/>
    <s v="Houston"/>
    <x v="2"/>
    <n v="9"/>
    <n v="35000"/>
    <n v="-22.681481160376499"/>
    <n v="-84.160179711506302"/>
    <n v="3000"/>
    <n v="450"/>
    <n v="200"/>
    <x v="19"/>
    <n v="50"/>
    <n v="90000"/>
  </r>
  <r>
    <x v="59"/>
    <s v="Los Angeles"/>
    <x v="1"/>
    <n v="8"/>
    <n v="30000"/>
    <n v="33.681936736362999"/>
    <n v="28.569174970864001"/>
    <n v="3000"/>
    <n v="356"/>
    <n v="145"/>
    <x v="4"/>
    <n v="44.5"/>
    <n v="51620"/>
  </r>
  <r>
    <x v="60"/>
    <s v="Los Angeles"/>
    <x v="3"/>
    <n v="8"/>
    <n v="30000"/>
    <n v="-153.69063767027501"/>
    <n v="5.81253767126179"/>
    <n v="2760"/>
    <n v="374"/>
    <n v="131"/>
    <x v="10"/>
    <n v="46.75"/>
    <n v="48994"/>
  </r>
  <r>
    <x v="61"/>
    <s v="Houston"/>
    <x v="3"/>
    <n v="12"/>
    <n v="30000"/>
    <n v="44.043575262208599"/>
    <n v="-71.412298402491302"/>
    <n v="3500"/>
    <n v="150"/>
    <n v="138"/>
    <x v="8"/>
    <n v="12.5"/>
    <n v="20700"/>
  </r>
  <r>
    <x v="62"/>
    <s v="Miami"/>
    <x v="0"/>
    <n v="7"/>
    <n v="30000"/>
    <n v="173.224021234426"/>
    <n v="-58.945702149654799"/>
    <n v="2729"/>
    <n v="450"/>
    <n v="126"/>
    <x v="1"/>
    <n v="64.285714285714292"/>
    <n v="56700"/>
  </r>
  <r>
    <x v="63"/>
    <s v="Los Angeles"/>
    <x v="3"/>
    <n v="8"/>
    <n v="30000"/>
    <n v="-111.561246077858"/>
    <n v="12.2353735168945"/>
    <n v="2760"/>
    <n v="374"/>
    <n v="131"/>
    <x v="10"/>
    <n v="46.75"/>
    <n v="48994"/>
  </r>
  <r>
    <x v="64"/>
    <s v="Los Angeles"/>
    <x v="3"/>
    <n v="5"/>
    <n v="30000"/>
    <n v="105.33424186381799"/>
    <n v="-36.655629567608102"/>
    <n v="2000"/>
    <n v="600"/>
    <n v="200"/>
    <x v="10"/>
    <n v="120"/>
    <n v="120000"/>
  </r>
  <r>
    <x v="65"/>
    <s v="Houston"/>
    <x v="0"/>
    <n v="10"/>
    <n v="30000"/>
    <n v="146.84356576066301"/>
    <n v="78.896831157236903"/>
    <n v="2550"/>
    <n v="397"/>
    <n v="120"/>
    <x v="0"/>
    <n v="39.700000000000003"/>
    <n v="47640"/>
  </r>
  <r>
    <x v="66"/>
    <s v="Los Angeles"/>
    <x v="0"/>
    <n v="10"/>
    <n v="30000"/>
    <n v="159.73257341527901"/>
    <n v="57.373241307129099"/>
    <n v="2586"/>
    <n v="397"/>
    <n v="119"/>
    <x v="23"/>
    <n v="39.700000000000003"/>
    <n v="47243"/>
  </r>
  <r>
    <x v="67"/>
    <s v="Los Angeles"/>
    <x v="1"/>
    <n v="8"/>
    <n v="30000"/>
    <n v="165.64881758596101"/>
    <n v="87.042097172459293"/>
    <n v="3000"/>
    <n v="356"/>
    <n v="145"/>
    <x v="4"/>
    <n v="44.5"/>
    <n v="51620"/>
  </r>
  <r>
    <x v="68"/>
    <s v="Houston"/>
    <x v="3"/>
    <n v="12"/>
    <n v="30000"/>
    <n v="7.7254699397298898"/>
    <n v="-43.259248988925499"/>
    <n v="2500"/>
    <n v="600"/>
    <n v="200"/>
    <x v="8"/>
    <n v="50"/>
    <n v="120000"/>
  </r>
  <r>
    <x v="69"/>
    <s v="Houston"/>
    <x v="3"/>
    <n v="8"/>
    <n v="30000"/>
    <n v="171.830846876941"/>
    <n v="84.550253903635905"/>
    <n v="2846"/>
    <n v="374"/>
    <n v="138"/>
    <x v="8"/>
    <n v="46.75"/>
    <n v="51612"/>
  </r>
  <r>
    <x v="70"/>
    <s v="New York"/>
    <x v="1"/>
    <n v="9"/>
    <n v="30000"/>
    <n v="92.631674568397997"/>
    <n v="-12.377903437519601"/>
    <n v="2800"/>
    <n v="356"/>
    <n v="120"/>
    <x v="15"/>
    <n v="39.555555555555557"/>
    <n v="42720"/>
  </r>
  <r>
    <x v="71"/>
    <s v="Miami"/>
    <x v="4"/>
    <n v="7"/>
    <n v="30000"/>
    <n v="-121.798282954694"/>
    <n v="-27.4466168435242"/>
    <n v="2000"/>
    <n v="300"/>
    <n v="128"/>
    <x v="21"/>
    <n v="42.857142857142854"/>
    <n v="38400"/>
  </r>
  <r>
    <x v="72"/>
    <s v="Miami"/>
    <x v="4"/>
    <n v="9"/>
    <n v="30000"/>
    <n v="-8.3159616715308005"/>
    <n v="-80.937085145516406"/>
    <n v="2700"/>
    <n v="402"/>
    <n v="128"/>
    <x v="21"/>
    <n v="44.666666666666664"/>
    <n v="51456"/>
  </r>
  <r>
    <x v="73"/>
    <s v="Los Angeles"/>
    <x v="4"/>
    <n v="11"/>
    <n v="30000"/>
    <n v="78.599223133921399"/>
    <n v="-80.502253585271504"/>
    <n v="2794"/>
    <n v="402"/>
    <n v="113"/>
    <x v="22"/>
    <n v="36.545454545454547"/>
    <n v="45426"/>
  </r>
  <r>
    <x v="74"/>
    <s v="Miami"/>
    <x v="1"/>
    <n v="15"/>
    <n v="32000"/>
    <n v="-90.957486305130004"/>
    <n v="34.562026070397799"/>
    <n v="2000"/>
    <n v="356"/>
    <n v="50"/>
    <x v="3"/>
    <n v="23.733333333333334"/>
    <n v="17800"/>
  </r>
  <r>
    <x v="75"/>
    <s v="Los Angeles"/>
    <x v="3"/>
    <n v="15"/>
    <n v="30000"/>
    <n v="50.6214660775995"/>
    <n v="-7.5727810018749704"/>
    <n v="3500"/>
    <n v="300"/>
    <n v="131"/>
    <x v="10"/>
    <n v="20"/>
    <n v="39300"/>
  </r>
  <r>
    <x v="76"/>
    <s v="New York"/>
    <x v="1"/>
    <n v="9"/>
    <n v="30000"/>
    <n v="59.976172456782898"/>
    <n v="-49.226107313500997"/>
    <n v="2800"/>
    <n v="356"/>
    <n v="120"/>
    <x v="15"/>
    <n v="39.555555555555557"/>
    <n v="42720"/>
  </r>
  <r>
    <x v="77"/>
    <s v="Houston"/>
    <x v="1"/>
    <n v="9"/>
    <n v="30000"/>
    <n v="-121.428092228916"/>
    <n v="20.514655138541901"/>
    <n v="2500"/>
    <n v="356"/>
    <n v="127"/>
    <x v="12"/>
    <n v="39.555555555555557"/>
    <n v="45212"/>
  </r>
  <r>
    <x v="78"/>
    <s v="Houston"/>
    <x v="4"/>
    <n v="8"/>
    <n v="30000"/>
    <n v="23.430712482992199"/>
    <n v="-44.485538714980002"/>
    <n v="2500"/>
    <n v="402"/>
    <n v="111"/>
    <x v="11"/>
    <n v="50.25"/>
    <n v="44622"/>
  </r>
  <r>
    <x v="79"/>
    <s v="Houston"/>
    <x v="2"/>
    <n v="9"/>
    <n v="30000"/>
    <n v="97.785687952298801"/>
    <n v="13.9737157819961"/>
    <n v="2647"/>
    <n v="354"/>
    <n v="113"/>
    <x v="19"/>
    <n v="39.333333333333336"/>
    <n v="40002"/>
  </r>
  <r>
    <x v="80"/>
    <s v="Miami"/>
    <x v="3"/>
    <n v="5"/>
    <n v="35000"/>
    <n v="-0.39756076706089499"/>
    <n v="-25.342425543115699"/>
    <n v="2000"/>
    <n v="600"/>
    <n v="150"/>
    <x v="14"/>
    <n v="120"/>
    <n v="90000"/>
  </r>
  <r>
    <x v="81"/>
    <s v="New York"/>
    <x v="4"/>
    <n v="11"/>
    <n v="30000"/>
    <n v="-175.642877960601"/>
    <n v="58.239400790127398"/>
    <n v="2588"/>
    <n v="402"/>
    <n v="134"/>
    <x v="20"/>
    <n v="36.545454545454547"/>
    <n v="53868"/>
  </r>
  <r>
    <x v="82"/>
    <s v="Miami"/>
    <x v="2"/>
    <n v="8"/>
    <n v="30000"/>
    <n v="-176.74615113145501"/>
    <n v="57.725308938020298"/>
    <n v="2718"/>
    <n v="354"/>
    <n v="115"/>
    <x v="7"/>
    <n v="44.25"/>
    <n v="40710"/>
  </r>
  <r>
    <x v="83"/>
    <s v="Miami"/>
    <x v="2"/>
    <n v="12"/>
    <n v="30000"/>
    <n v="-51.469436170795603"/>
    <n v="-4.0769283379677601"/>
    <n v="2718"/>
    <n v="300"/>
    <n v="200"/>
    <x v="7"/>
    <n v="25"/>
    <n v="60000"/>
  </r>
  <r>
    <x v="84"/>
    <s v="New York"/>
    <x v="0"/>
    <n v="9"/>
    <n v="30000"/>
    <n v="153.42986463544199"/>
    <n v="-26.852560319697201"/>
    <n v="2954"/>
    <n v="397"/>
    <n v="128"/>
    <x v="24"/>
    <n v="44.111111111111114"/>
    <n v="50816"/>
  </r>
  <r>
    <x v="85"/>
    <s v="New York"/>
    <x v="3"/>
    <n v="9"/>
    <n v="32000"/>
    <n v="-97.676359342700806"/>
    <n v="-24.739236619362998"/>
    <n v="2000"/>
    <n v="600"/>
    <n v="50"/>
    <x v="16"/>
    <n v="66.666666666666671"/>
    <n v="30000"/>
  </r>
  <r>
    <x v="86"/>
    <s v="New York"/>
    <x v="2"/>
    <n v="9"/>
    <n v="30000"/>
    <n v="48.370927993807399"/>
    <n v="55.0286146202792"/>
    <n v="2847"/>
    <n v="354"/>
    <n v="122"/>
    <x v="13"/>
    <n v="39.333333333333336"/>
    <n v="43188"/>
  </r>
  <r>
    <x v="87"/>
    <s v="New York"/>
    <x v="4"/>
    <n v="15"/>
    <n v="32000"/>
    <n v="-100.052686550405"/>
    <n v="-30.927693096429799"/>
    <n v="2000"/>
    <n v="150"/>
    <n v="150"/>
    <x v="20"/>
    <n v="10"/>
    <n v="22500"/>
  </r>
  <r>
    <x v="88"/>
    <s v="Houston"/>
    <x v="0"/>
    <n v="10"/>
    <n v="30000"/>
    <n v="-64.198803722562502"/>
    <n v="-52.369312732767703"/>
    <n v="2550"/>
    <n v="397"/>
    <n v="120"/>
    <x v="0"/>
    <n v="39.700000000000003"/>
    <n v="47640"/>
  </r>
  <r>
    <x v="89"/>
    <s v="Chicago"/>
    <x v="3"/>
    <n v="9"/>
    <n v="32000"/>
    <n v="125.295152256534"/>
    <n v="-74.756098462444797"/>
    <n v="2678"/>
    <n v="450"/>
    <n v="116"/>
    <x v="6"/>
    <n v="50"/>
    <n v="52200"/>
  </r>
  <r>
    <x v="90"/>
    <s v="Chicago"/>
    <x v="1"/>
    <n v="9"/>
    <n v="30000"/>
    <n v="82.390119217180896"/>
    <n v="-5.9952382408064899"/>
    <n v="2678"/>
    <n v="356"/>
    <n v="137"/>
    <x v="17"/>
    <n v="39.555555555555557"/>
    <n v="48772"/>
  </r>
  <r>
    <x v="91"/>
    <s v="New York"/>
    <x v="4"/>
    <n v="15"/>
    <n v="30000"/>
    <n v="-145.656260167244"/>
    <n v="-3.2162221944284699"/>
    <n v="3500"/>
    <n v="402"/>
    <n v="100"/>
    <x v="20"/>
    <n v="26.8"/>
    <n v="40200"/>
  </r>
  <r>
    <x v="92"/>
    <s v="Chicago"/>
    <x v="2"/>
    <n v="12"/>
    <n v="30000"/>
    <n v="-25.667272444883899"/>
    <n v="61.363567872523298"/>
    <n v="3000"/>
    <n v="300"/>
    <n v="50"/>
    <x v="5"/>
    <n v="25"/>
    <n v="15000"/>
  </r>
  <r>
    <x v="93"/>
    <s v="Chicago"/>
    <x v="2"/>
    <n v="12"/>
    <n v="32000"/>
    <n v="-169.49888508770499"/>
    <n v="-50.177034639708502"/>
    <n v="2928"/>
    <n v="354"/>
    <n v="200"/>
    <x v="5"/>
    <n v="29.5"/>
    <n v="70800"/>
  </r>
  <r>
    <x v="94"/>
    <s v="New York"/>
    <x v="4"/>
    <n v="5"/>
    <n v="32000"/>
    <n v="-6.8795472229167602"/>
    <n v="-21.421570739688001"/>
    <n v="2500"/>
    <n v="402"/>
    <n v="150"/>
    <x v="20"/>
    <n v="80.400000000000006"/>
    <n v="60300"/>
  </r>
  <r>
    <x v="95"/>
    <s v="Chicago"/>
    <x v="2"/>
    <n v="5"/>
    <n v="35000"/>
    <n v="58.476244212384501"/>
    <n v="55.513033000864397"/>
    <n v="3500"/>
    <n v="354"/>
    <n v="50"/>
    <x v="5"/>
    <n v="70.8"/>
    <n v="17700"/>
  </r>
  <r>
    <x v="96"/>
    <s v="Miami"/>
    <x v="0"/>
    <n v="9"/>
    <n v="30000"/>
    <n v="-137.33905550466599"/>
    <n v="58.252249934815197"/>
    <n v="2729"/>
    <n v="397"/>
    <n v="126"/>
    <x v="1"/>
    <n v="44.111111111111114"/>
    <n v="50022"/>
  </r>
  <r>
    <x v="97"/>
    <s v="Los Angeles"/>
    <x v="3"/>
    <n v="8"/>
    <n v="30000"/>
    <n v="-76.001421992700401"/>
    <n v="-20.770006323821701"/>
    <n v="2760"/>
    <n v="374"/>
    <n v="131"/>
    <x v="10"/>
    <n v="46.75"/>
    <n v="48994"/>
  </r>
  <r>
    <x v="98"/>
    <s v="Los Angeles"/>
    <x v="0"/>
    <n v="12"/>
    <n v="30000"/>
    <n v="-36.778814819223498"/>
    <n v="-7.3576758083974498"/>
    <n v="2500"/>
    <n v="300"/>
    <n v="200"/>
    <x v="23"/>
    <n v="25"/>
    <n v="60000"/>
  </r>
  <r>
    <x v="99"/>
    <s v="New York"/>
    <x v="2"/>
    <n v="9"/>
    <n v="32000"/>
    <n v="151.03116887617799"/>
    <n v="-35.408539647129103"/>
    <n v="3000"/>
    <n v="354"/>
    <n v="150"/>
    <x v="13"/>
    <n v="39.333333333333336"/>
    <n v="53100"/>
  </r>
  <r>
    <x v="100"/>
    <s v="Houston"/>
    <x v="1"/>
    <n v="9"/>
    <n v="30000"/>
    <n v="177.57180555226699"/>
    <n v="77.859878115476207"/>
    <n v="2000"/>
    <n v="450"/>
    <n v="200"/>
    <x v="12"/>
    <n v="50"/>
    <n v="90000"/>
  </r>
  <r>
    <x v="101"/>
    <s v="New York"/>
    <x v="3"/>
    <n v="9"/>
    <n v="30000"/>
    <n v="-163.831932361578"/>
    <n v="-68.644122166515501"/>
    <n v="2760"/>
    <n v="374"/>
    <n v="107"/>
    <x v="16"/>
    <n v="41.555555555555557"/>
    <n v="40018"/>
  </r>
  <r>
    <x v="102"/>
    <s v="Houston"/>
    <x v="3"/>
    <n v="5"/>
    <n v="30000"/>
    <n v="93.962852458341203"/>
    <n v="78.074896140264599"/>
    <n v="3000"/>
    <n v="374"/>
    <n v="138"/>
    <x v="8"/>
    <n v="74.8"/>
    <n v="51612"/>
  </r>
  <r>
    <x v="103"/>
    <s v="Los Angeles"/>
    <x v="4"/>
    <n v="15"/>
    <n v="30000"/>
    <n v="-46.179336095156401"/>
    <n v="33.095961330361803"/>
    <n v="3500"/>
    <n v="450"/>
    <n v="50"/>
    <x v="22"/>
    <n v="30"/>
    <n v="22500"/>
  </r>
  <r>
    <x v="104"/>
    <s v="New York"/>
    <x v="4"/>
    <n v="12"/>
    <n v="30000"/>
    <n v="-38.715052957387201"/>
    <n v="5.6829874836116101"/>
    <n v="2588"/>
    <n v="600"/>
    <n v="150"/>
    <x v="20"/>
    <n v="50"/>
    <n v="90000"/>
  </r>
  <r>
    <x v="105"/>
    <s v="Miami"/>
    <x v="1"/>
    <n v="10"/>
    <n v="35000"/>
    <n v="91.535390404928194"/>
    <n v="-84.121369058790705"/>
    <n v="3500"/>
    <n v="356"/>
    <n v="105"/>
    <x v="3"/>
    <n v="35.6"/>
    <n v="37380"/>
  </r>
  <r>
    <x v="106"/>
    <s v="Chicago"/>
    <x v="3"/>
    <n v="12"/>
    <n v="30000"/>
    <n v="150.63351557234699"/>
    <n v="-4.3926854720385098"/>
    <n v="2500"/>
    <n v="450"/>
    <n v="100"/>
    <x v="6"/>
    <n v="37.5"/>
    <n v="45000"/>
  </r>
  <r>
    <x v="107"/>
    <s v="Houston"/>
    <x v="1"/>
    <n v="9"/>
    <n v="30000"/>
    <n v="162.33429402091701"/>
    <n v="-16.605341099508198"/>
    <n v="2500"/>
    <n v="356"/>
    <n v="127"/>
    <x v="12"/>
    <n v="39.555555555555557"/>
    <n v="45212"/>
  </r>
  <r>
    <x v="108"/>
    <s v="Chicago"/>
    <x v="4"/>
    <n v="10"/>
    <n v="30000"/>
    <n v="27.764130973795499"/>
    <n v="-60.980613844477901"/>
    <n v="2636"/>
    <n v="402"/>
    <n v="114"/>
    <x v="9"/>
    <n v="40.200000000000003"/>
    <n v="45828"/>
  </r>
  <r>
    <x v="109"/>
    <s v="Chicago"/>
    <x v="4"/>
    <n v="10"/>
    <n v="30000"/>
    <n v="-51.436382651819002"/>
    <n v="28.153728630118199"/>
    <n v="2636"/>
    <n v="402"/>
    <n v="114"/>
    <x v="9"/>
    <n v="40.200000000000003"/>
    <n v="45828"/>
  </r>
  <r>
    <x v="110"/>
    <s v="New York"/>
    <x v="3"/>
    <n v="9"/>
    <n v="30000"/>
    <n v="103.517670909161"/>
    <n v="84.807163326291402"/>
    <n v="2760"/>
    <n v="374"/>
    <n v="107"/>
    <x v="16"/>
    <n v="41.555555555555557"/>
    <n v="40018"/>
  </r>
  <r>
    <x v="111"/>
    <s v="Chicago"/>
    <x v="0"/>
    <n v="5"/>
    <n v="30000"/>
    <n v="-89.6395020255719"/>
    <n v="11.1939859916145"/>
    <n v="2500"/>
    <n v="300"/>
    <n v="133"/>
    <x v="2"/>
    <n v="60"/>
    <n v="39900"/>
  </r>
  <r>
    <x v="112"/>
    <s v="Miami"/>
    <x v="2"/>
    <n v="7"/>
    <n v="30000"/>
    <n v="23.066650380066399"/>
    <n v="38.6555897599102"/>
    <n v="2500"/>
    <n v="450"/>
    <n v="50"/>
    <x v="7"/>
    <n v="64.285714285714292"/>
    <n v="22500"/>
  </r>
  <r>
    <x v="113"/>
    <s v="Chicago"/>
    <x v="4"/>
    <n v="15"/>
    <n v="30000"/>
    <n v="-50.911753851045702"/>
    <n v="-77.678918538117003"/>
    <n v="2636"/>
    <n v="150"/>
    <n v="200"/>
    <x v="9"/>
    <n v="10"/>
    <n v="30000"/>
  </r>
  <r>
    <x v="114"/>
    <s v="New York"/>
    <x v="4"/>
    <n v="7"/>
    <n v="30000"/>
    <n v="56.387186534835401"/>
    <n v="-14.8199407529409"/>
    <n v="2000"/>
    <n v="450"/>
    <n v="100"/>
    <x v="20"/>
    <n v="64.285714285714292"/>
    <n v="45000"/>
  </r>
  <r>
    <x v="115"/>
    <s v="Miami"/>
    <x v="0"/>
    <n v="5"/>
    <n v="30000"/>
    <n v="-93.456391358337498"/>
    <n v="-69.055472670390699"/>
    <n v="2729"/>
    <n v="150"/>
    <n v="200"/>
    <x v="1"/>
    <n v="30"/>
    <n v="30000"/>
  </r>
  <r>
    <x v="116"/>
    <s v="Los Angeles"/>
    <x v="0"/>
    <n v="15"/>
    <n v="32000"/>
    <n v="-111.026539535463"/>
    <n v="20.303250396571901"/>
    <n v="3500"/>
    <n v="397"/>
    <n v="200"/>
    <x v="23"/>
    <n v="26.466666666666665"/>
    <n v="79400"/>
  </r>
  <r>
    <x v="117"/>
    <s v="Chicago"/>
    <x v="1"/>
    <n v="7"/>
    <n v="30000"/>
    <n v="150.56607120315701"/>
    <n v="78.926788478547806"/>
    <n v="2000"/>
    <n v="356"/>
    <n v="200"/>
    <x v="17"/>
    <n v="50.857142857142854"/>
    <n v="71200"/>
  </r>
  <r>
    <x v="118"/>
    <s v="New York"/>
    <x v="1"/>
    <n v="9"/>
    <n v="30000"/>
    <n v="-143.35067413816699"/>
    <n v="29.119991844894901"/>
    <n v="2800"/>
    <n v="356"/>
    <n v="120"/>
    <x v="15"/>
    <n v="39.555555555555557"/>
    <n v="42720"/>
  </r>
  <r>
    <x v="119"/>
    <s v="Los Angeles"/>
    <x v="2"/>
    <n v="5"/>
    <n v="30000"/>
    <n v="2.1448467845754098"/>
    <n v="-76.175451303404103"/>
    <n v="2000"/>
    <n v="354"/>
    <n v="50"/>
    <x v="18"/>
    <n v="70.8"/>
    <n v="17700"/>
  </r>
  <r>
    <x v="120"/>
    <s v="Los Angeles"/>
    <x v="2"/>
    <n v="8"/>
    <n v="30000"/>
    <n v="-100.492998133317"/>
    <n v="-26.1600831026851"/>
    <n v="2882"/>
    <n v="354"/>
    <n v="125"/>
    <x v="18"/>
    <n v="44.25"/>
    <n v="44250"/>
  </r>
  <r>
    <x v="121"/>
    <s v="Houston"/>
    <x v="3"/>
    <n v="5"/>
    <n v="30000"/>
    <n v="-165.98521320276001"/>
    <n v="9.1194082993532799"/>
    <n v="2500"/>
    <n v="300"/>
    <n v="200"/>
    <x v="8"/>
    <n v="60"/>
    <n v="60000"/>
  </r>
  <r>
    <x v="122"/>
    <s v="Miami"/>
    <x v="1"/>
    <n v="9"/>
    <n v="35000"/>
    <n v="-167.03322541508601"/>
    <n v="-17.4226038960146"/>
    <n v="3000"/>
    <n v="300"/>
    <n v="50"/>
    <x v="3"/>
    <n v="33.333333333333336"/>
    <n v="15000"/>
  </r>
  <r>
    <x v="123"/>
    <s v="Chicago"/>
    <x v="4"/>
    <n v="9"/>
    <n v="30000"/>
    <n v="-116.920162041902"/>
    <n v="60.055921885530999"/>
    <n v="2500"/>
    <n v="150"/>
    <n v="100"/>
    <x v="9"/>
    <n v="16.666666666666668"/>
    <n v="15000"/>
  </r>
  <r>
    <x v="124"/>
    <s v="New York"/>
    <x v="1"/>
    <n v="12"/>
    <n v="30000"/>
    <n v="132.03732762216001"/>
    <n v="56.640780847798098"/>
    <n v="2800"/>
    <n v="356"/>
    <n v="100"/>
    <x v="15"/>
    <n v="29.666666666666668"/>
    <n v="35600"/>
  </r>
  <r>
    <x v="125"/>
    <s v="Houston"/>
    <x v="4"/>
    <n v="8"/>
    <n v="30000"/>
    <n v="-78.307652168270394"/>
    <n v="20.1295836185799"/>
    <n v="2500"/>
    <n v="402"/>
    <n v="111"/>
    <x v="11"/>
    <n v="50.25"/>
    <n v="44622"/>
  </r>
  <r>
    <x v="126"/>
    <s v="Miami"/>
    <x v="0"/>
    <n v="7"/>
    <n v="32000"/>
    <n v="162.16530140710699"/>
    <n v="-22.777569876112999"/>
    <n v="2500"/>
    <n v="300"/>
    <n v="150"/>
    <x v="1"/>
    <n v="42.857142857142854"/>
    <n v="45000"/>
  </r>
  <r>
    <x v="127"/>
    <s v="Houston"/>
    <x v="1"/>
    <n v="12"/>
    <n v="35000"/>
    <n v="29.384025476109699"/>
    <n v="-44.039452722615998"/>
    <n v="2500"/>
    <n v="300"/>
    <n v="200"/>
    <x v="12"/>
    <n v="25"/>
    <n v="60000"/>
  </r>
  <r>
    <x v="128"/>
    <s v="Miami"/>
    <x v="0"/>
    <n v="7"/>
    <n v="30000"/>
    <n v="-22.8188916832442"/>
    <n v="-70.942622721636695"/>
    <n v="3500"/>
    <n v="397"/>
    <n v="150"/>
    <x v="1"/>
    <n v="56.714285714285715"/>
    <n v="59550"/>
  </r>
  <r>
    <x v="129"/>
    <s v="Miami"/>
    <x v="2"/>
    <n v="8"/>
    <n v="30000"/>
    <n v="28.831980481003701"/>
    <n v="-26.118416972420299"/>
    <n v="3000"/>
    <n v="600"/>
    <n v="100"/>
    <x v="7"/>
    <n v="75"/>
    <n v="60000"/>
  </r>
  <r>
    <x v="130"/>
    <s v="Chicago"/>
    <x v="2"/>
    <n v="9"/>
    <n v="30000"/>
    <n v="6.0114186814564103"/>
    <n v="-15.628946902610499"/>
    <n v="2500"/>
    <n v="600"/>
    <n v="50"/>
    <x v="5"/>
    <n v="66.666666666666671"/>
    <n v="30000"/>
  </r>
  <r>
    <x v="131"/>
    <s v="Miami"/>
    <x v="3"/>
    <n v="8"/>
    <n v="30000"/>
    <n v="93.159451352637106"/>
    <n v="31.648126518733299"/>
    <n v="2615"/>
    <n v="374"/>
    <n v="121"/>
    <x v="14"/>
    <n v="46.75"/>
    <n v="45254"/>
  </r>
  <r>
    <x v="132"/>
    <s v="Houston"/>
    <x v="1"/>
    <n v="9"/>
    <n v="30000"/>
    <n v="-78.301416249773197"/>
    <n v="28.468768373563201"/>
    <n v="2500"/>
    <n v="356"/>
    <n v="127"/>
    <x v="12"/>
    <n v="39.555555555555557"/>
    <n v="45212"/>
  </r>
  <r>
    <x v="133"/>
    <s v="Miami"/>
    <x v="0"/>
    <n v="9"/>
    <n v="30000"/>
    <n v="-52.901859023891099"/>
    <n v="-77.380534864573704"/>
    <n v="2729"/>
    <n v="397"/>
    <n v="126"/>
    <x v="1"/>
    <n v="44.111111111111114"/>
    <n v="50022"/>
  </r>
  <r>
    <x v="134"/>
    <s v="Chicago"/>
    <x v="4"/>
    <n v="12"/>
    <n v="35000"/>
    <n v="141.87394891196999"/>
    <n v="-18.853323222391602"/>
    <n v="3000"/>
    <n v="402"/>
    <n v="100"/>
    <x v="9"/>
    <n v="33.5"/>
    <n v="40200"/>
  </r>
  <r>
    <x v="135"/>
    <s v="Chicago"/>
    <x v="2"/>
    <n v="10"/>
    <n v="30000"/>
    <n v="160.724344734146"/>
    <n v="-57.279803900874903"/>
    <n v="2928"/>
    <n v="354"/>
    <n v="121"/>
    <x v="5"/>
    <n v="35.4"/>
    <n v="42834"/>
  </r>
  <r>
    <x v="136"/>
    <s v="Houston"/>
    <x v="2"/>
    <n v="9"/>
    <n v="30000"/>
    <n v="141.32096189513101"/>
    <n v="-61.773713042974997"/>
    <n v="2647"/>
    <n v="354"/>
    <n v="113"/>
    <x v="19"/>
    <n v="39.333333333333336"/>
    <n v="40002"/>
  </r>
  <r>
    <x v="137"/>
    <s v="Los Angeles"/>
    <x v="4"/>
    <n v="11"/>
    <n v="30000"/>
    <n v="-28.998722175367099"/>
    <n v="58.914386952704298"/>
    <n v="2794"/>
    <n v="402"/>
    <n v="113"/>
    <x v="22"/>
    <n v="36.545454545454547"/>
    <n v="45426"/>
  </r>
  <r>
    <x v="138"/>
    <s v="Los Angeles"/>
    <x v="0"/>
    <n v="12"/>
    <n v="30000"/>
    <n v="100.931581082477"/>
    <n v="-82.455260991073601"/>
    <n v="2500"/>
    <n v="150"/>
    <n v="50"/>
    <x v="23"/>
    <n v="12.5"/>
    <n v="7500"/>
  </r>
  <r>
    <x v="139"/>
    <s v="Miami"/>
    <x v="0"/>
    <n v="9"/>
    <n v="30000"/>
    <n v="-8.5191360116044503"/>
    <n v="-14.5470823376182"/>
    <n v="2729"/>
    <n v="397"/>
    <n v="126"/>
    <x v="1"/>
    <n v="44.111111111111114"/>
    <n v="50022"/>
  </r>
  <r>
    <x v="140"/>
    <s v="New York"/>
    <x v="1"/>
    <n v="9"/>
    <n v="30000"/>
    <n v="-0.88565322740322505"/>
    <n v="-59.723341962026701"/>
    <n v="2800"/>
    <n v="356"/>
    <n v="120"/>
    <x v="15"/>
    <n v="39.555555555555557"/>
    <n v="42720"/>
  </r>
  <r>
    <x v="141"/>
    <s v="Miami"/>
    <x v="1"/>
    <n v="10"/>
    <n v="30000"/>
    <n v="-106.315160739378"/>
    <n v="68.2794388221253"/>
    <n v="2931"/>
    <n v="356"/>
    <n v="105"/>
    <x v="3"/>
    <n v="35.6"/>
    <n v="37380"/>
  </r>
  <r>
    <x v="142"/>
    <s v="Houston"/>
    <x v="3"/>
    <n v="7"/>
    <n v="30000"/>
    <n v="32.806909173065897"/>
    <n v="10.2672923895063"/>
    <n v="2500"/>
    <n v="374"/>
    <n v="150"/>
    <x v="8"/>
    <n v="53.428571428571431"/>
    <n v="56100"/>
  </r>
  <r>
    <x v="143"/>
    <s v="Houston"/>
    <x v="2"/>
    <n v="15"/>
    <n v="30000"/>
    <n v="-112.991076808795"/>
    <n v="-48.351485452167402"/>
    <n v="3000"/>
    <n v="300"/>
    <n v="200"/>
    <x v="19"/>
    <n v="20"/>
    <n v="60000"/>
  </r>
  <r>
    <x v="144"/>
    <s v="Houston"/>
    <x v="1"/>
    <n v="9"/>
    <n v="30000"/>
    <n v="-60.636708335810198"/>
    <n v="0.43691168994774898"/>
    <n v="2500"/>
    <n v="356"/>
    <n v="127"/>
    <x v="12"/>
    <n v="39.555555555555557"/>
    <n v="45212"/>
  </r>
  <r>
    <x v="145"/>
    <s v="Houston"/>
    <x v="0"/>
    <n v="10"/>
    <n v="30000"/>
    <n v="127.810872583177"/>
    <n v="41.6675447465609"/>
    <n v="2550"/>
    <n v="397"/>
    <n v="120"/>
    <x v="0"/>
    <n v="39.700000000000003"/>
    <n v="47640"/>
  </r>
  <r>
    <x v="146"/>
    <s v="Houston"/>
    <x v="4"/>
    <n v="7"/>
    <n v="35000"/>
    <n v="-105.452708684092"/>
    <n v="82.461241605498103"/>
    <n v="2500"/>
    <n v="150"/>
    <n v="100"/>
    <x v="11"/>
    <n v="21.428571428571427"/>
    <n v="15000"/>
  </r>
  <r>
    <x v="147"/>
    <s v="Chicago"/>
    <x v="0"/>
    <n v="8"/>
    <n v="35000"/>
    <n v="-154.38301733756401"/>
    <n v="-50.3197192358246"/>
    <n v="2000"/>
    <n v="450"/>
    <n v="150"/>
    <x v="2"/>
    <n v="56.25"/>
    <n v="67500"/>
  </r>
  <r>
    <x v="148"/>
    <s v="Los Angeles"/>
    <x v="2"/>
    <n v="8"/>
    <n v="30000"/>
    <n v="-155.15726665938601"/>
    <n v="69.512718983282099"/>
    <n v="2882"/>
    <n v="354"/>
    <n v="125"/>
    <x v="18"/>
    <n v="44.25"/>
    <n v="44250"/>
  </r>
  <r>
    <x v="149"/>
    <s v="Houston"/>
    <x v="0"/>
    <n v="10"/>
    <n v="35000"/>
    <n v="158.682427381119"/>
    <n v="78.174740550148201"/>
    <n v="2000"/>
    <n v="600"/>
    <n v="150"/>
    <x v="0"/>
    <n v="60"/>
    <n v="90000"/>
  </r>
  <r>
    <x v="150"/>
    <s v="New York"/>
    <x v="3"/>
    <n v="9"/>
    <n v="30000"/>
    <n v="2.49135766626046"/>
    <n v="74.955698015771901"/>
    <n v="3000"/>
    <n v="374"/>
    <n v="200"/>
    <x v="16"/>
    <n v="41.555555555555557"/>
    <n v="74800"/>
  </r>
  <r>
    <x v="151"/>
    <s v="New York"/>
    <x v="2"/>
    <n v="12"/>
    <n v="35000"/>
    <n v="-32.611654145873402"/>
    <n v="24.3745842351438"/>
    <n v="2500"/>
    <n v="354"/>
    <n v="150"/>
    <x v="13"/>
    <n v="29.5"/>
    <n v="53100"/>
  </r>
  <r>
    <x v="152"/>
    <s v="New York"/>
    <x v="4"/>
    <n v="11"/>
    <n v="30000"/>
    <n v="111.916289162851"/>
    <n v="23.367717798247401"/>
    <n v="2500"/>
    <n v="300"/>
    <n v="134"/>
    <x v="20"/>
    <n v="27.272727272727273"/>
    <n v="40200"/>
  </r>
  <r>
    <x v="153"/>
    <s v="New York"/>
    <x v="3"/>
    <n v="5"/>
    <n v="30000"/>
    <n v="120.897334047786"/>
    <n v="-17.422086026911899"/>
    <n v="3000"/>
    <n v="300"/>
    <n v="100"/>
    <x v="16"/>
    <n v="60"/>
    <n v="30000"/>
  </r>
  <r>
    <x v="154"/>
    <s v="Chicago"/>
    <x v="2"/>
    <n v="15"/>
    <n v="35000"/>
    <n v="-60.411228078382301"/>
    <n v="45.431618814681798"/>
    <n v="2000"/>
    <n v="600"/>
    <n v="100"/>
    <x v="5"/>
    <n v="40"/>
    <n v="60000"/>
  </r>
  <r>
    <x v="155"/>
    <s v="New York"/>
    <x v="4"/>
    <n v="11"/>
    <n v="30000"/>
    <n v="69.702500690566296"/>
    <n v="5.6329233031677397"/>
    <n v="2588"/>
    <n v="402"/>
    <n v="134"/>
    <x v="20"/>
    <n v="36.545454545454547"/>
    <n v="53868"/>
  </r>
  <r>
    <x v="156"/>
    <s v="Houston"/>
    <x v="3"/>
    <n v="7"/>
    <n v="35000"/>
    <n v="97.604213706679204"/>
    <n v="31.938852821093001"/>
    <n v="2846"/>
    <n v="450"/>
    <n v="50"/>
    <x v="8"/>
    <n v="64.285714285714292"/>
    <n v="22500"/>
  </r>
  <r>
    <x v="157"/>
    <s v="Miami"/>
    <x v="3"/>
    <n v="9"/>
    <n v="35000"/>
    <n v="55.674247271743603"/>
    <n v="-12.8775773072168"/>
    <n v="3500"/>
    <n v="300"/>
    <n v="150"/>
    <x v="14"/>
    <n v="33.333333333333336"/>
    <n v="45000"/>
  </r>
  <r>
    <x v="158"/>
    <s v="New York"/>
    <x v="2"/>
    <n v="9"/>
    <n v="30000"/>
    <n v="-125.425773071964"/>
    <n v="41.669363527765"/>
    <n v="2847"/>
    <n v="354"/>
    <n v="122"/>
    <x v="13"/>
    <n v="39.333333333333336"/>
    <n v="43188"/>
  </r>
  <r>
    <x v="159"/>
    <s v="Chicago"/>
    <x v="1"/>
    <n v="9"/>
    <n v="35000"/>
    <n v="135.317910066141"/>
    <n v="58.404873168818803"/>
    <n v="2500"/>
    <n v="150"/>
    <n v="100"/>
    <x v="17"/>
    <n v="16.666666666666668"/>
    <n v="15000"/>
  </r>
  <r>
    <x v="160"/>
    <s v="Chicago"/>
    <x v="3"/>
    <n v="7"/>
    <n v="32000"/>
    <n v="14.074038984963099"/>
    <n v="-63.6414738114931"/>
    <n v="2500"/>
    <n v="150"/>
    <n v="100"/>
    <x v="6"/>
    <n v="21.428571428571427"/>
    <n v="15000"/>
  </r>
  <r>
    <x v="161"/>
    <s v="New York"/>
    <x v="3"/>
    <n v="9"/>
    <n v="30000"/>
    <n v="-78.309926506798703"/>
    <n v="59.927348803360999"/>
    <n v="3500"/>
    <n v="374"/>
    <n v="100"/>
    <x v="16"/>
    <n v="41.555555555555557"/>
    <n v="37400"/>
  </r>
  <r>
    <x v="162"/>
    <s v="Miami"/>
    <x v="4"/>
    <n v="12"/>
    <n v="30000"/>
    <n v="-26.917853242430201"/>
    <n v="7.2533757222553001"/>
    <n v="2700"/>
    <n v="450"/>
    <n v="50"/>
    <x v="21"/>
    <n v="37.5"/>
    <n v="22500"/>
  </r>
  <r>
    <x v="163"/>
    <s v="New York"/>
    <x v="0"/>
    <n v="7"/>
    <n v="30000"/>
    <n v="-166.47440745639301"/>
    <n v="62.039863636240398"/>
    <n v="3500"/>
    <n v="150"/>
    <n v="50"/>
    <x v="24"/>
    <n v="21.428571428571427"/>
    <n v="7500"/>
  </r>
  <r>
    <x v="164"/>
    <s v="Chicago"/>
    <x v="2"/>
    <n v="10"/>
    <n v="30000"/>
    <n v="-133.96795155992999"/>
    <n v="-12.3656928586174"/>
    <n v="2928"/>
    <n v="354"/>
    <n v="121"/>
    <x v="5"/>
    <n v="35.4"/>
    <n v="42834"/>
  </r>
  <r>
    <x v="165"/>
    <s v="Los Angeles"/>
    <x v="2"/>
    <n v="8"/>
    <n v="30000"/>
    <n v="95.596830185709905"/>
    <n v="-21.7727126310537"/>
    <n v="2882"/>
    <n v="354"/>
    <n v="125"/>
    <x v="18"/>
    <n v="44.25"/>
    <n v="44250"/>
  </r>
  <r>
    <x v="166"/>
    <s v="Houston"/>
    <x v="1"/>
    <n v="7"/>
    <n v="30000"/>
    <n v="-179.995811488068"/>
    <n v="74.710931853100007"/>
    <n v="2500"/>
    <n v="600"/>
    <n v="150"/>
    <x v="12"/>
    <n v="85.714285714285708"/>
    <n v="90000"/>
  </r>
  <r>
    <x v="167"/>
    <s v="Chicago"/>
    <x v="1"/>
    <n v="5"/>
    <n v="30000"/>
    <n v="-30.0363017463748"/>
    <n v="-44.789531841287797"/>
    <n v="3000"/>
    <n v="150"/>
    <n v="200"/>
    <x v="17"/>
    <n v="30"/>
    <n v="30000"/>
  </r>
  <r>
    <x v="168"/>
    <s v="New York"/>
    <x v="2"/>
    <n v="9"/>
    <n v="30000"/>
    <n v="8.1036651908118493"/>
    <n v="61.958218551505801"/>
    <n v="2847"/>
    <n v="354"/>
    <n v="122"/>
    <x v="13"/>
    <n v="39.333333333333336"/>
    <n v="43188"/>
  </r>
  <r>
    <x v="169"/>
    <s v="Houston"/>
    <x v="1"/>
    <n v="9"/>
    <n v="30000"/>
    <n v="-160.33160879965001"/>
    <n v="-2.8762969483072598"/>
    <n v="2500"/>
    <n v="356"/>
    <n v="127"/>
    <x v="12"/>
    <n v="39.555555555555557"/>
    <n v="45212"/>
  </r>
  <r>
    <x v="170"/>
    <s v="New York"/>
    <x v="4"/>
    <n v="5"/>
    <n v="30000"/>
    <n v="170.30813867003999"/>
    <n v="2.5371796592267502"/>
    <n v="3500"/>
    <n v="402"/>
    <n v="200"/>
    <x v="20"/>
    <n v="80.400000000000006"/>
    <n v="80400"/>
  </r>
  <r>
    <x v="171"/>
    <s v="New York"/>
    <x v="2"/>
    <n v="12"/>
    <n v="30000"/>
    <n v="-98.594880750118094"/>
    <n v="-34.475709331892901"/>
    <n v="2000"/>
    <n v="300"/>
    <n v="200"/>
    <x v="13"/>
    <n v="25"/>
    <n v="60000"/>
  </r>
  <r>
    <x v="172"/>
    <s v="Los Angeles"/>
    <x v="1"/>
    <n v="8"/>
    <n v="30000"/>
    <n v="-70.488460930938899"/>
    <n v="13.1475961114228"/>
    <n v="3000"/>
    <n v="356"/>
    <n v="145"/>
    <x v="4"/>
    <n v="44.5"/>
    <n v="51620"/>
  </r>
  <r>
    <x v="173"/>
    <s v="Houston"/>
    <x v="2"/>
    <n v="9"/>
    <n v="30000"/>
    <n v="-70.580695588190196"/>
    <n v="-31.461984670282"/>
    <n v="2647"/>
    <n v="354"/>
    <n v="113"/>
    <x v="19"/>
    <n v="39.333333333333336"/>
    <n v="40002"/>
  </r>
  <r>
    <x v="174"/>
    <s v="Houston"/>
    <x v="0"/>
    <n v="10"/>
    <n v="30000"/>
    <n v="-97.050001637753994"/>
    <n v="-82.931505436502604"/>
    <n v="2550"/>
    <n v="397"/>
    <n v="120"/>
    <x v="0"/>
    <n v="39.700000000000003"/>
    <n v="47640"/>
  </r>
  <r>
    <x v="175"/>
    <s v="Los Angeles"/>
    <x v="3"/>
    <n v="8"/>
    <n v="30000"/>
    <n v="-179.469424048928"/>
    <n v="-41.040251038015903"/>
    <n v="3000"/>
    <n v="300"/>
    <n v="150"/>
    <x v="10"/>
    <n v="37.5"/>
    <n v="45000"/>
  </r>
  <r>
    <x v="176"/>
    <s v="Chicago"/>
    <x v="2"/>
    <n v="10"/>
    <n v="30000"/>
    <n v="82.564125871678698"/>
    <n v="-88.851772186813704"/>
    <n v="2500"/>
    <n v="300"/>
    <n v="200"/>
    <x v="5"/>
    <n v="30"/>
    <n v="60000"/>
  </r>
  <r>
    <x v="177"/>
    <s v="New York"/>
    <x v="3"/>
    <n v="15"/>
    <n v="32000"/>
    <n v="168.064379927743"/>
    <n v="86.103861670234195"/>
    <n v="2500"/>
    <n v="300"/>
    <n v="100"/>
    <x v="16"/>
    <n v="20"/>
    <n v="30000"/>
  </r>
  <r>
    <x v="178"/>
    <s v="Miami"/>
    <x v="1"/>
    <n v="12"/>
    <n v="35000"/>
    <n v="-99.254346017383796"/>
    <n v="83.834497767554595"/>
    <n v="2500"/>
    <n v="600"/>
    <n v="105"/>
    <x v="3"/>
    <n v="50"/>
    <n v="63000"/>
  </r>
  <r>
    <x v="179"/>
    <s v="New York"/>
    <x v="3"/>
    <n v="9"/>
    <n v="30000"/>
    <n v="58.696989049232101"/>
    <n v="-18.872046454985099"/>
    <n v="3500"/>
    <n v="374"/>
    <n v="200"/>
    <x v="16"/>
    <n v="41.555555555555557"/>
    <n v="74800"/>
  </r>
  <r>
    <x v="180"/>
    <s v="New York"/>
    <x v="2"/>
    <n v="9"/>
    <n v="32000"/>
    <n v="87.082677705137399"/>
    <n v="41.106753781136298"/>
    <n v="2500"/>
    <n v="600"/>
    <n v="150"/>
    <x v="13"/>
    <n v="66.666666666666671"/>
    <n v="90000"/>
  </r>
  <r>
    <x v="181"/>
    <s v="Chicago"/>
    <x v="0"/>
    <n v="8"/>
    <n v="30000"/>
    <n v="125.433136472589"/>
    <n v="-27.7549022861235"/>
    <n v="2583"/>
    <n v="397"/>
    <n v="133"/>
    <x v="2"/>
    <n v="49.625"/>
    <n v="52801"/>
  </r>
  <r>
    <x v="182"/>
    <s v="New York"/>
    <x v="1"/>
    <n v="9"/>
    <n v="30000"/>
    <n v="-27.8534890751007"/>
    <n v="30.796768275475699"/>
    <n v="2000"/>
    <n v="150"/>
    <n v="150"/>
    <x v="15"/>
    <n v="16.666666666666668"/>
    <n v="22500"/>
  </r>
  <r>
    <x v="183"/>
    <s v="Los Angeles"/>
    <x v="2"/>
    <n v="5"/>
    <n v="30000"/>
    <n v="-70.944873969445496"/>
    <n v="54.9774077482762"/>
    <n v="3500"/>
    <n v="150"/>
    <n v="50"/>
    <x v="18"/>
    <n v="30"/>
    <n v="7500"/>
  </r>
  <r>
    <x v="184"/>
    <s v="Los Angeles"/>
    <x v="1"/>
    <n v="8"/>
    <n v="30000"/>
    <n v="-62.893751751708798"/>
    <n v="80.416124044603293"/>
    <n v="3000"/>
    <n v="356"/>
    <n v="145"/>
    <x v="4"/>
    <n v="44.5"/>
    <n v="51620"/>
  </r>
  <r>
    <x v="185"/>
    <s v="Houston"/>
    <x v="4"/>
    <n v="8"/>
    <n v="30000"/>
    <n v="76.543679915464594"/>
    <n v="-17.961790347059001"/>
    <n v="2500"/>
    <n v="402"/>
    <n v="111"/>
    <x v="11"/>
    <n v="50.25"/>
    <n v="44622"/>
  </r>
  <r>
    <x v="186"/>
    <s v="Miami"/>
    <x v="3"/>
    <n v="7"/>
    <n v="35000"/>
    <n v="114.040607942029"/>
    <n v="50.993636932088599"/>
    <n v="3000"/>
    <n v="150"/>
    <n v="150"/>
    <x v="14"/>
    <n v="21.428571428571427"/>
    <n v="22500"/>
  </r>
  <r>
    <x v="187"/>
    <s v="New York"/>
    <x v="4"/>
    <n v="15"/>
    <n v="32000"/>
    <n v="-114.618971607623"/>
    <n v="-42.132878886218599"/>
    <n v="2500"/>
    <n v="402"/>
    <n v="150"/>
    <x v="20"/>
    <n v="26.8"/>
    <n v="60300"/>
  </r>
  <r>
    <x v="188"/>
    <s v="New York"/>
    <x v="2"/>
    <n v="7"/>
    <n v="30000"/>
    <n v="-46.4612370632045"/>
    <n v="88.2598146828567"/>
    <n v="2000"/>
    <n v="600"/>
    <n v="50"/>
    <x v="13"/>
    <n v="85.714285714285708"/>
    <n v="30000"/>
  </r>
  <r>
    <x v="189"/>
    <s v="Chicago"/>
    <x v="0"/>
    <n v="12"/>
    <n v="35000"/>
    <n v="144.698470829694"/>
    <n v="-85.361472222416793"/>
    <n v="2583"/>
    <n v="397"/>
    <n v="100"/>
    <x v="2"/>
    <n v="33.083333333333336"/>
    <n v="39700"/>
  </r>
  <r>
    <x v="190"/>
    <s v="Los Angeles"/>
    <x v="1"/>
    <n v="5"/>
    <n v="35000"/>
    <n v="110.409667090106"/>
    <n v="18.635185170201801"/>
    <n v="3000"/>
    <n v="150"/>
    <n v="200"/>
    <x v="4"/>
    <n v="30"/>
    <n v="30000"/>
  </r>
  <r>
    <x v="191"/>
    <s v="Miami"/>
    <x v="3"/>
    <n v="12"/>
    <n v="30000"/>
    <n v="174.54902499449099"/>
    <n v="28.711076697238902"/>
    <n v="2615"/>
    <n v="450"/>
    <n v="121"/>
    <x v="14"/>
    <n v="37.5"/>
    <n v="54450"/>
  </r>
  <r>
    <x v="192"/>
    <s v="Houston"/>
    <x v="1"/>
    <n v="9"/>
    <n v="30000"/>
    <n v="91.529373485549101"/>
    <n v="33.848200273343203"/>
    <n v="2500"/>
    <n v="356"/>
    <n v="127"/>
    <x v="12"/>
    <n v="39.555555555555557"/>
    <n v="45212"/>
  </r>
  <r>
    <x v="193"/>
    <s v="Los Angeles"/>
    <x v="2"/>
    <n v="8"/>
    <n v="30000"/>
    <n v="-38.449727629948001"/>
    <n v="-68.330235817963995"/>
    <n v="2882"/>
    <n v="354"/>
    <n v="125"/>
    <x v="18"/>
    <n v="44.25"/>
    <n v="44250"/>
  </r>
  <r>
    <x v="194"/>
    <s v="Houston"/>
    <x v="1"/>
    <n v="12"/>
    <n v="32000"/>
    <n v="32.629620238069599"/>
    <n v="78.935361025163502"/>
    <n v="2000"/>
    <n v="356"/>
    <n v="127"/>
    <x v="12"/>
    <n v="29.666666666666668"/>
    <n v="45212"/>
  </r>
  <r>
    <x v="195"/>
    <s v="Chicago"/>
    <x v="3"/>
    <n v="12"/>
    <n v="32000"/>
    <n v="57.965131529035297"/>
    <n v="-57.387009770985102"/>
    <n v="2000"/>
    <n v="300"/>
    <n v="150"/>
    <x v="6"/>
    <n v="25"/>
    <n v="45000"/>
  </r>
  <r>
    <x v="196"/>
    <s v="Chicago"/>
    <x v="2"/>
    <n v="10"/>
    <n v="30000"/>
    <n v="-151.755906125835"/>
    <n v="22.095612583171398"/>
    <n v="2928"/>
    <n v="354"/>
    <n v="121"/>
    <x v="5"/>
    <n v="35.4"/>
    <n v="42834"/>
  </r>
  <r>
    <x v="197"/>
    <s v="New York"/>
    <x v="1"/>
    <n v="9"/>
    <n v="30000"/>
    <n v="16.018905277391401"/>
    <n v="-49.918305757844699"/>
    <n v="2000"/>
    <n v="150"/>
    <n v="100"/>
    <x v="15"/>
    <n v="16.666666666666668"/>
    <n v="15000"/>
  </r>
  <r>
    <x v="198"/>
    <s v="Miami"/>
    <x v="0"/>
    <n v="9"/>
    <n v="30000"/>
    <n v="75.355498250139405"/>
    <n v="-34.701044936171201"/>
    <n v="2729"/>
    <n v="397"/>
    <n v="126"/>
    <x v="1"/>
    <n v="44.111111111111114"/>
    <n v="50022"/>
  </r>
  <r>
    <x v="199"/>
    <s v="Houston"/>
    <x v="2"/>
    <n v="9"/>
    <n v="30000"/>
    <n v="-119.764330559618"/>
    <n v="8.3625375110623903"/>
    <n v="2647"/>
    <n v="354"/>
    <n v="113"/>
    <x v="19"/>
    <n v="39.333333333333336"/>
    <n v="40002"/>
  </r>
  <r>
    <x v="200"/>
    <s v="Los Angeles"/>
    <x v="2"/>
    <n v="15"/>
    <n v="35000"/>
    <n v="101.02741827320099"/>
    <n v="-14.9051846583762"/>
    <n v="3500"/>
    <n v="600"/>
    <n v="150"/>
    <x v="18"/>
    <n v="40"/>
    <n v="90000"/>
  </r>
  <r>
    <x v="201"/>
    <s v="Chicago"/>
    <x v="0"/>
    <n v="12"/>
    <n v="30000"/>
    <n v="30.1582009850802"/>
    <n v="-61.159391824228898"/>
    <n v="2000"/>
    <n v="600"/>
    <n v="100"/>
    <x v="2"/>
    <n v="50"/>
    <n v="60000"/>
  </r>
  <r>
    <x v="202"/>
    <s v="New York"/>
    <x v="4"/>
    <n v="11"/>
    <n v="32000"/>
    <n v="162.799842851134"/>
    <n v="-59.231447564247297"/>
    <n v="3500"/>
    <n v="450"/>
    <n v="200"/>
    <x v="20"/>
    <n v="40.909090909090907"/>
    <n v="90000"/>
  </r>
  <r>
    <x v="203"/>
    <s v="New York"/>
    <x v="3"/>
    <n v="15"/>
    <n v="30000"/>
    <n v="-164.727972645519"/>
    <n v="-14.733938130696099"/>
    <n v="2000"/>
    <n v="150"/>
    <n v="150"/>
    <x v="16"/>
    <n v="10"/>
    <n v="22500"/>
  </r>
  <r>
    <x v="204"/>
    <s v="Houston"/>
    <x v="4"/>
    <n v="8"/>
    <n v="30000"/>
    <n v="-84.482590480031902"/>
    <n v="46.310936089590101"/>
    <n v="2500"/>
    <n v="402"/>
    <n v="111"/>
    <x v="11"/>
    <n v="50.25"/>
    <n v="44622"/>
  </r>
  <r>
    <x v="205"/>
    <s v="Chicago"/>
    <x v="1"/>
    <n v="9"/>
    <n v="35000"/>
    <n v="36.5593965479367"/>
    <n v="71.633636432601904"/>
    <n v="2678"/>
    <n v="150"/>
    <n v="50"/>
    <x v="17"/>
    <n v="16.666666666666668"/>
    <n v="7500"/>
  </r>
  <r>
    <x v="206"/>
    <s v="Miami"/>
    <x v="0"/>
    <n v="7"/>
    <n v="30000"/>
    <n v="-73.238431605864903"/>
    <n v="-74.857020793311094"/>
    <n v="2500"/>
    <n v="300"/>
    <n v="200"/>
    <x v="1"/>
    <n v="42.857142857142854"/>
    <n v="60000"/>
  </r>
  <r>
    <x v="207"/>
    <s v="Chicago"/>
    <x v="4"/>
    <n v="12"/>
    <n v="30000"/>
    <n v="77.192699065647204"/>
    <n v="-19.241296639307802"/>
    <n v="2500"/>
    <n v="450"/>
    <n v="114"/>
    <x v="9"/>
    <n v="37.5"/>
    <n v="51300"/>
  </r>
  <r>
    <x v="208"/>
    <s v="Houston"/>
    <x v="2"/>
    <n v="9"/>
    <n v="30000"/>
    <n v="93.241901707895195"/>
    <n v="-71.955798529882202"/>
    <n v="2647"/>
    <n v="354"/>
    <n v="113"/>
    <x v="19"/>
    <n v="39.333333333333336"/>
    <n v="40002"/>
  </r>
  <r>
    <x v="209"/>
    <s v="Houston"/>
    <x v="1"/>
    <n v="9"/>
    <n v="30000"/>
    <n v="-143.09425293606901"/>
    <n v="-87.013353486132402"/>
    <n v="2500"/>
    <n v="356"/>
    <n v="127"/>
    <x v="12"/>
    <n v="39.555555555555557"/>
    <n v="45212"/>
  </r>
  <r>
    <x v="210"/>
    <s v="Chicago"/>
    <x v="1"/>
    <n v="9"/>
    <n v="30000"/>
    <n v="4.9876071144363703"/>
    <n v="29.109362875912201"/>
    <n v="2678"/>
    <n v="356"/>
    <n v="137"/>
    <x v="17"/>
    <n v="39.555555555555557"/>
    <n v="48772"/>
  </r>
  <r>
    <x v="211"/>
    <s v="Houston"/>
    <x v="4"/>
    <n v="8"/>
    <n v="30000"/>
    <n v="3.20060001278011"/>
    <n v="18.440899553985801"/>
    <n v="2500"/>
    <n v="402"/>
    <n v="111"/>
    <x v="11"/>
    <n v="50.25"/>
    <n v="44622"/>
  </r>
  <r>
    <x v="212"/>
    <s v="Chicago"/>
    <x v="4"/>
    <n v="10"/>
    <n v="30000"/>
    <n v="-47.0589227224052"/>
    <n v="-60.656559513320502"/>
    <n v="2636"/>
    <n v="402"/>
    <n v="114"/>
    <x v="9"/>
    <n v="40.200000000000003"/>
    <n v="45828"/>
  </r>
  <r>
    <x v="213"/>
    <s v="Los Angeles"/>
    <x v="0"/>
    <n v="10"/>
    <n v="30000"/>
    <n v="155.85295052508201"/>
    <n v="-47.913690043248501"/>
    <n v="2586"/>
    <n v="397"/>
    <n v="119"/>
    <x v="23"/>
    <n v="39.700000000000003"/>
    <n v="47243"/>
  </r>
  <r>
    <x v="214"/>
    <s v="Chicago"/>
    <x v="3"/>
    <n v="5"/>
    <n v="35000"/>
    <n v="117.90227515436"/>
    <n v="-85.732604343986694"/>
    <n v="2678"/>
    <n v="450"/>
    <n v="200"/>
    <x v="6"/>
    <n v="90"/>
    <n v="90000"/>
  </r>
  <r>
    <x v="215"/>
    <s v="Chicago"/>
    <x v="4"/>
    <n v="10"/>
    <n v="30000"/>
    <n v="70.995377487469199"/>
    <n v="60.290497024992703"/>
    <n v="2636"/>
    <n v="402"/>
    <n v="114"/>
    <x v="9"/>
    <n v="40.200000000000003"/>
    <n v="45828"/>
  </r>
  <r>
    <x v="216"/>
    <s v="Houston"/>
    <x v="4"/>
    <n v="8"/>
    <n v="35000"/>
    <n v="77.157588864599106"/>
    <n v="85.444307288739296"/>
    <n v="2500"/>
    <n v="300"/>
    <n v="100"/>
    <x v="11"/>
    <n v="37.5"/>
    <n v="30000"/>
  </r>
  <r>
    <x v="217"/>
    <s v="Houston"/>
    <x v="2"/>
    <n v="9"/>
    <n v="32000"/>
    <n v="-13.7821882272771"/>
    <n v="-65.617283376955697"/>
    <n v="2500"/>
    <n v="450"/>
    <n v="50"/>
    <x v="19"/>
    <n v="50"/>
    <n v="22500"/>
  </r>
  <r>
    <x v="218"/>
    <s v="New York"/>
    <x v="1"/>
    <n v="9"/>
    <n v="30000"/>
    <n v="151.558027594767"/>
    <n v="-48.334461522246301"/>
    <n v="2800"/>
    <n v="356"/>
    <n v="120"/>
    <x v="15"/>
    <n v="39.555555555555557"/>
    <n v="42720"/>
  </r>
  <r>
    <x v="219"/>
    <s v="New York"/>
    <x v="3"/>
    <n v="15"/>
    <n v="30000"/>
    <n v="70.054353811182807"/>
    <n v="66.313714310448105"/>
    <n v="2760"/>
    <n v="300"/>
    <n v="50"/>
    <x v="16"/>
    <n v="20"/>
    <n v="15000"/>
  </r>
  <r>
    <x v="220"/>
    <s v="Los Angeles"/>
    <x v="2"/>
    <n v="8"/>
    <n v="30000"/>
    <n v="82.433182196093895"/>
    <n v="76.763483632113306"/>
    <n v="2882"/>
    <n v="354"/>
    <n v="125"/>
    <x v="18"/>
    <n v="44.25"/>
    <n v="44250"/>
  </r>
  <r>
    <x v="221"/>
    <s v="New York"/>
    <x v="0"/>
    <n v="9"/>
    <n v="30000"/>
    <n v="130.20872536344399"/>
    <n v="-14.4670710947741"/>
    <n v="2954"/>
    <n v="397"/>
    <n v="128"/>
    <x v="24"/>
    <n v="44.111111111111114"/>
    <n v="50816"/>
  </r>
  <r>
    <x v="222"/>
    <s v="Chicago"/>
    <x v="0"/>
    <n v="5"/>
    <n v="32000"/>
    <n v="-81.334227836811195"/>
    <n v="-80.887954991566701"/>
    <n v="2000"/>
    <n v="300"/>
    <n v="50"/>
    <x v="2"/>
    <n v="60"/>
    <n v="15000"/>
  </r>
  <r>
    <x v="223"/>
    <s v="Houston"/>
    <x v="4"/>
    <n v="9"/>
    <n v="35000"/>
    <n v="110.545525392013"/>
    <n v="-82.909469935292506"/>
    <n v="2000"/>
    <n v="450"/>
    <n v="200"/>
    <x v="11"/>
    <n v="50"/>
    <n v="90000"/>
  </r>
  <r>
    <x v="224"/>
    <s v="New York"/>
    <x v="4"/>
    <n v="15"/>
    <n v="35000"/>
    <n v="-109.71338293566301"/>
    <n v="13.310975892421901"/>
    <n v="2000"/>
    <n v="450"/>
    <n v="150"/>
    <x v="20"/>
    <n v="30"/>
    <n v="67500"/>
  </r>
  <r>
    <x v="225"/>
    <s v="New York"/>
    <x v="0"/>
    <n v="5"/>
    <n v="30000"/>
    <n v="-55.676897191840403"/>
    <n v="-19.278880399227798"/>
    <n v="2954"/>
    <n v="600"/>
    <n v="200"/>
    <x v="24"/>
    <n v="120"/>
    <n v="120000"/>
  </r>
  <r>
    <x v="226"/>
    <s v="Los Angeles"/>
    <x v="4"/>
    <n v="12"/>
    <n v="32000"/>
    <n v="-59.180236462856598"/>
    <n v="-84.842563036022199"/>
    <n v="3500"/>
    <n v="150"/>
    <n v="200"/>
    <x v="22"/>
    <n v="12.5"/>
    <n v="30000"/>
  </r>
  <r>
    <x v="227"/>
    <s v="Los Angeles"/>
    <x v="3"/>
    <n v="8"/>
    <n v="30000"/>
    <n v="172.26916862009099"/>
    <n v="14.985430616260199"/>
    <n v="2760"/>
    <n v="374"/>
    <n v="131"/>
    <x v="10"/>
    <n v="46.75"/>
    <n v="48994"/>
  </r>
  <r>
    <x v="228"/>
    <s v="Chicago"/>
    <x v="4"/>
    <n v="10"/>
    <n v="30000"/>
    <n v="128.35340054925399"/>
    <n v="-87.965543413975993"/>
    <n v="2636"/>
    <n v="402"/>
    <n v="114"/>
    <x v="9"/>
    <n v="40.200000000000003"/>
    <n v="45828"/>
  </r>
  <r>
    <x v="229"/>
    <s v="Houston"/>
    <x v="1"/>
    <n v="9"/>
    <n v="35000"/>
    <n v="72.421150172493498"/>
    <n v="51.726952466869101"/>
    <n v="3500"/>
    <n v="356"/>
    <n v="127"/>
    <x v="12"/>
    <n v="39.555555555555557"/>
    <n v="45212"/>
  </r>
  <r>
    <x v="230"/>
    <s v="Los Angeles"/>
    <x v="4"/>
    <n v="12"/>
    <n v="32000"/>
    <n v="81.740434181540394"/>
    <n v="-34.842091913393098"/>
    <n v="3000"/>
    <n v="300"/>
    <n v="150"/>
    <x v="22"/>
    <n v="25"/>
    <n v="45000"/>
  </r>
  <r>
    <x v="231"/>
    <s v="New York"/>
    <x v="2"/>
    <n v="9"/>
    <n v="30000"/>
    <n v="22.3462059849256"/>
    <n v="-82.753559458338202"/>
    <n v="2847"/>
    <n v="354"/>
    <n v="122"/>
    <x v="13"/>
    <n v="39.333333333333336"/>
    <n v="43188"/>
  </r>
  <r>
    <x v="232"/>
    <s v="Houston"/>
    <x v="3"/>
    <n v="12"/>
    <n v="30000"/>
    <n v="160.95264015906699"/>
    <n v="15.9033997769676"/>
    <n v="2000"/>
    <n v="600"/>
    <n v="138"/>
    <x v="8"/>
    <n v="50"/>
    <n v="82800"/>
  </r>
  <r>
    <x v="233"/>
    <s v="Houston"/>
    <x v="2"/>
    <n v="12"/>
    <n v="35000"/>
    <n v="-1.3468489623498401"/>
    <n v="-18.416805402050201"/>
    <n v="2647"/>
    <n v="600"/>
    <n v="50"/>
    <x v="19"/>
    <n v="50"/>
    <n v="30000"/>
  </r>
  <r>
    <x v="234"/>
    <s v="New York"/>
    <x v="2"/>
    <n v="9"/>
    <n v="30000"/>
    <n v="-43.013624446838001"/>
    <n v="85.284074404286898"/>
    <n v="2847"/>
    <n v="354"/>
    <n v="122"/>
    <x v="13"/>
    <n v="39.333333333333336"/>
    <n v="43188"/>
  </r>
  <r>
    <x v="235"/>
    <s v="Los Angeles"/>
    <x v="1"/>
    <n v="8"/>
    <n v="30000"/>
    <n v="-121.307278704627"/>
    <n v="7.9557592506663903"/>
    <n v="3000"/>
    <n v="356"/>
    <n v="145"/>
    <x v="4"/>
    <n v="44.5"/>
    <n v="51620"/>
  </r>
  <r>
    <x v="236"/>
    <s v="New York"/>
    <x v="3"/>
    <n v="12"/>
    <n v="30000"/>
    <n v="103.03403481398099"/>
    <n v="-40.456947413338497"/>
    <n v="2760"/>
    <n v="600"/>
    <n v="150"/>
    <x v="16"/>
    <n v="50"/>
    <n v="90000"/>
  </r>
  <r>
    <x v="237"/>
    <s v="Houston"/>
    <x v="3"/>
    <n v="8"/>
    <n v="30000"/>
    <n v="84.399815547212896"/>
    <n v="37.698995634115498"/>
    <n v="2846"/>
    <n v="374"/>
    <n v="138"/>
    <x v="8"/>
    <n v="46.75"/>
    <n v="51612"/>
  </r>
  <r>
    <x v="238"/>
    <s v="Miami"/>
    <x v="3"/>
    <n v="8"/>
    <n v="30000"/>
    <n v="-41.6321861313114"/>
    <n v="-41.131439542312002"/>
    <n v="2615"/>
    <n v="374"/>
    <n v="121"/>
    <x v="14"/>
    <n v="46.75"/>
    <n v="45254"/>
  </r>
  <r>
    <x v="239"/>
    <s v="Miami"/>
    <x v="3"/>
    <n v="8"/>
    <n v="30000"/>
    <n v="-170.930370974677"/>
    <n v="72.763792453361702"/>
    <n v="2615"/>
    <n v="374"/>
    <n v="121"/>
    <x v="14"/>
    <n v="46.75"/>
    <n v="45254"/>
  </r>
  <r>
    <x v="240"/>
    <s v="Chicago"/>
    <x v="3"/>
    <n v="12"/>
    <n v="32000"/>
    <n v="122.039037978484"/>
    <n v="-22.5500453086722"/>
    <n v="2500"/>
    <n v="600"/>
    <n v="50"/>
    <x v="6"/>
    <n v="50"/>
    <n v="30000"/>
  </r>
  <r>
    <x v="241"/>
    <s v="New York"/>
    <x v="1"/>
    <n v="12"/>
    <n v="30000"/>
    <n v="-175.88952595653399"/>
    <n v="8.9763412997169407"/>
    <n v="2000"/>
    <n v="450"/>
    <n v="150"/>
    <x v="15"/>
    <n v="37.5"/>
    <n v="67500"/>
  </r>
  <r>
    <x v="242"/>
    <s v="New York"/>
    <x v="4"/>
    <n v="11"/>
    <n v="32000"/>
    <n v="73.331920666458302"/>
    <n v="-80.896841311638795"/>
    <n v="2500"/>
    <n v="600"/>
    <n v="100"/>
    <x v="20"/>
    <n v="54.545454545454547"/>
    <n v="60000"/>
  </r>
  <r>
    <x v="243"/>
    <s v="Chicago"/>
    <x v="2"/>
    <n v="7"/>
    <n v="35000"/>
    <n v="169.29255950138099"/>
    <n v="-13.2981771685985"/>
    <n v="2500"/>
    <n v="150"/>
    <n v="200"/>
    <x v="5"/>
    <n v="21.428571428571427"/>
    <n v="30000"/>
  </r>
  <r>
    <x v="244"/>
    <s v="Chicago"/>
    <x v="3"/>
    <n v="9"/>
    <n v="30000"/>
    <n v="-22.441921866646801"/>
    <n v="59.825437138979098"/>
    <n v="2678"/>
    <n v="374"/>
    <n v="116"/>
    <x v="6"/>
    <n v="41.555555555555557"/>
    <n v="43384"/>
  </r>
  <r>
    <x v="245"/>
    <s v="Chicago"/>
    <x v="4"/>
    <n v="12"/>
    <n v="32000"/>
    <n v="-95.409574201457005"/>
    <n v="55.016784965401499"/>
    <n v="2000"/>
    <n v="300"/>
    <n v="114"/>
    <x v="9"/>
    <n v="25"/>
    <n v="34200"/>
  </r>
  <r>
    <x v="246"/>
    <s v="Houston"/>
    <x v="4"/>
    <n v="8"/>
    <n v="30000"/>
    <n v="73.753563615617395"/>
    <n v="-49.622659406365301"/>
    <n v="2500"/>
    <n v="450"/>
    <n v="100"/>
    <x v="11"/>
    <n v="56.25"/>
    <n v="45000"/>
  </r>
  <r>
    <x v="247"/>
    <s v="New York"/>
    <x v="2"/>
    <n v="9"/>
    <n v="30000"/>
    <n v="114.166131125611"/>
    <n v="-49.305767218098701"/>
    <n v="2847"/>
    <n v="354"/>
    <n v="122"/>
    <x v="13"/>
    <n v="39.333333333333336"/>
    <n v="43188"/>
  </r>
  <r>
    <x v="248"/>
    <s v="Houston"/>
    <x v="1"/>
    <n v="9"/>
    <n v="30000"/>
    <n v="16.714913788025001"/>
    <n v="57.1149561983826"/>
    <n v="3000"/>
    <n v="356"/>
    <n v="127"/>
    <x v="12"/>
    <n v="39.555555555555557"/>
    <n v="45212"/>
  </r>
  <r>
    <x v="249"/>
    <s v="Chicago"/>
    <x v="0"/>
    <n v="8"/>
    <n v="30000"/>
    <n v="168.13269909221299"/>
    <n v="77.471715630478599"/>
    <n v="2583"/>
    <n v="397"/>
    <n v="133"/>
    <x v="2"/>
    <n v="49.625"/>
    <n v="52801"/>
  </r>
  <r>
    <x v="250"/>
    <s v="New York"/>
    <x v="0"/>
    <n v="9"/>
    <n v="30000"/>
    <n v="-161.39926020313399"/>
    <n v="-72.835034170859402"/>
    <n v="2954"/>
    <n v="397"/>
    <n v="128"/>
    <x v="24"/>
    <n v="44.111111111111114"/>
    <n v="50816"/>
  </r>
  <r>
    <x v="251"/>
    <s v="Houston"/>
    <x v="4"/>
    <n v="8"/>
    <n v="30000"/>
    <n v="1.72641538963012"/>
    <n v="-8.9894449032794501"/>
    <n v="2500"/>
    <n v="402"/>
    <n v="111"/>
    <x v="11"/>
    <n v="50.25"/>
    <n v="44622"/>
  </r>
  <r>
    <x v="252"/>
    <s v="Houston"/>
    <x v="2"/>
    <n v="9"/>
    <n v="35000"/>
    <n v="78.643421036117999"/>
    <n v="-29.2582297864388"/>
    <n v="3000"/>
    <n v="600"/>
    <n v="200"/>
    <x v="19"/>
    <n v="66.666666666666671"/>
    <n v="120000"/>
  </r>
  <r>
    <x v="253"/>
    <s v="Chicago"/>
    <x v="0"/>
    <n v="15"/>
    <n v="35000"/>
    <n v="130.55056961370499"/>
    <n v="66.723921982339107"/>
    <n v="2000"/>
    <n v="397"/>
    <n v="200"/>
    <x v="2"/>
    <n v="26.466666666666665"/>
    <n v="79400"/>
  </r>
  <r>
    <x v="254"/>
    <s v="New York"/>
    <x v="4"/>
    <n v="11"/>
    <n v="30000"/>
    <n v="-115.467979713196"/>
    <n v="-74.965515357596601"/>
    <n v="2588"/>
    <n v="402"/>
    <n v="134"/>
    <x v="20"/>
    <n v="36.545454545454547"/>
    <n v="53868"/>
  </r>
  <r>
    <x v="255"/>
    <s v="Chicago"/>
    <x v="1"/>
    <n v="9"/>
    <n v="35000"/>
    <n v="108.001253434925"/>
    <n v="-51.997330339553301"/>
    <n v="2000"/>
    <n v="600"/>
    <n v="137"/>
    <x v="17"/>
    <n v="66.666666666666671"/>
    <n v="82200"/>
  </r>
  <r>
    <x v="256"/>
    <s v="New York"/>
    <x v="0"/>
    <n v="9"/>
    <n v="30000"/>
    <n v="18.974547258676299"/>
    <n v="45.444300765568997"/>
    <n v="2954"/>
    <n v="397"/>
    <n v="128"/>
    <x v="24"/>
    <n v="44.111111111111114"/>
    <n v="50816"/>
  </r>
  <r>
    <x v="257"/>
    <s v="Miami"/>
    <x v="4"/>
    <n v="9"/>
    <n v="35000"/>
    <n v="-37.240674483613198"/>
    <n v="-80.767107183381199"/>
    <n v="2000"/>
    <n v="600"/>
    <n v="100"/>
    <x v="21"/>
    <n v="66.666666666666671"/>
    <n v="60000"/>
  </r>
  <r>
    <x v="258"/>
    <s v="Los Angeles"/>
    <x v="4"/>
    <n v="7"/>
    <n v="32000"/>
    <n v="-132.582589711526"/>
    <n v="-1.34363147142793"/>
    <n v="3000"/>
    <n v="600"/>
    <n v="50"/>
    <x v="22"/>
    <n v="85.714285714285708"/>
    <n v="30000"/>
  </r>
  <r>
    <x v="259"/>
    <s v="Los Angeles"/>
    <x v="3"/>
    <n v="8"/>
    <n v="30000"/>
    <n v="131.50647320720799"/>
    <n v="-10.4207337576504"/>
    <n v="2760"/>
    <n v="374"/>
    <n v="131"/>
    <x v="10"/>
    <n v="46.75"/>
    <n v="48994"/>
  </r>
  <r>
    <x v="260"/>
    <s v="Los Angeles"/>
    <x v="1"/>
    <n v="8"/>
    <n v="30000"/>
    <n v="-123.381645055302"/>
    <n v="-29.807787782025201"/>
    <n v="3000"/>
    <n v="356"/>
    <n v="145"/>
    <x v="4"/>
    <n v="44.5"/>
    <n v="51620"/>
  </r>
  <r>
    <x v="261"/>
    <s v="Chicago"/>
    <x v="3"/>
    <n v="9"/>
    <n v="30000"/>
    <n v="-68.476370684724301"/>
    <n v="-18.9769832425937"/>
    <n v="2678"/>
    <n v="374"/>
    <n v="116"/>
    <x v="6"/>
    <n v="41.555555555555557"/>
    <n v="43384"/>
  </r>
  <r>
    <x v="262"/>
    <s v="Miami"/>
    <x v="2"/>
    <n v="8"/>
    <n v="30000"/>
    <n v="-75.583608493522703"/>
    <n v="5.3893056474419296"/>
    <n v="3000"/>
    <n v="300"/>
    <n v="50"/>
    <x v="7"/>
    <n v="37.5"/>
    <n v="15000"/>
  </r>
  <r>
    <x v="263"/>
    <s v="New York"/>
    <x v="3"/>
    <n v="9"/>
    <n v="35000"/>
    <n v="133.70905230870801"/>
    <n v="-60.953875490091001"/>
    <n v="3500"/>
    <n v="150"/>
    <n v="150"/>
    <x v="16"/>
    <n v="16.666666666666668"/>
    <n v="22500"/>
  </r>
  <r>
    <x v="264"/>
    <s v="Houston"/>
    <x v="3"/>
    <n v="15"/>
    <n v="35000"/>
    <n v="62.173077915203301"/>
    <n v="12.959258091046699"/>
    <n v="3500"/>
    <n v="300"/>
    <n v="150"/>
    <x v="8"/>
    <n v="20"/>
    <n v="45000"/>
  </r>
  <r>
    <x v="265"/>
    <s v="New York"/>
    <x v="0"/>
    <n v="9"/>
    <n v="30000"/>
    <n v="106.805302988894"/>
    <n v="54.977819273997497"/>
    <n v="2954"/>
    <n v="397"/>
    <n v="128"/>
    <x v="24"/>
    <n v="44.111111111111114"/>
    <n v="50816"/>
  </r>
  <r>
    <x v="266"/>
    <s v="Houston"/>
    <x v="4"/>
    <n v="8"/>
    <n v="30000"/>
    <n v="-89.831556434700403"/>
    <n v="46.828967362228603"/>
    <n v="2500"/>
    <n v="402"/>
    <n v="111"/>
    <x v="11"/>
    <n v="50.25"/>
    <n v="44622"/>
  </r>
  <r>
    <x v="267"/>
    <s v="New York"/>
    <x v="1"/>
    <n v="15"/>
    <n v="30000"/>
    <n v="44.9546758585196"/>
    <n v="-62.298017155120696"/>
    <n v="2800"/>
    <n v="600"/>
    <n v="100"/>
    <x v="15"/>
    <n v="40"/>
    <n v="60000"/>
  </r>
  <r>
    <x v="268"/>
    <s v="Miami"/>
    <x v="3"/>
    <n v="5"/>
    <n v="30000"/>
    <n v="25.8285539317495"/>
    <n v="-63.135095446534699"/>
    <n v="2000"/>
    <n v="600"/>
    <n v="150"/>
    <x v="14"/>
    <n v="120"/>
    <n v="90000"/>
  </r>
  <r>
    <x v="269"/>
    <s v="Houston"/>
    <x v="1"/>
    <n v="15"/>
    <n v="32000"/>
    <n v="119.818935643778"/>
    <n v="-41.7286138059156"/>
    <n v="2000"/>
    <n v="356"/>
    <n v="200"/>
    <x v="12"/>
    <n v="23.733333333333334"/>
    <n v="71200"/>
  </r>
  <r>
    <x v="270"/>
    <s v="Chicago"/>
    <x v="3"/>
    <n v="15"/>
    <n v="30000"/>
    <n v="146.19134177325401"/>
    <n v="-25.006549258613301"/>
    <n v="2000"/>
    <n v="300"/>
    <n v="100"/>
    <x v="6"/>
    <n v="20"/>
    <n v="30000"/>
  </r>
  <r>
    <x v="271"/>
    <s v="New York"/>
    <x v="2"/>
    <n v="7"/>
    <n v="30000"/>
    <n v="-175.623562268141"/>
    <n v="-16.477995346473101"/>
    <n v="2500"/>
    <n v="354"/>
    <n v="50"/>
    <x v="13"/>
    <n v="50.571428571428569"/>
    <n v="17700"/>
  </r>
  <r>
    <x v="272"/>
    <s v="New York"/>
    <x v="3"/>
    <n v="7"/>
    <n v="32000"/>
    <n v="62.647170861165399"/>
    <n v="32.345499030002102"/>
    <n v="2500"/>
    <n v="150"/>
    <n v="50"/>
    <x v="16"/>
    <n v="21.428571428571427"/>
    <n v="7500"/>
  </r>
  <r>
    <x v="273"/>
    <s v="Houston"/>
    <x v="0"/>
    <n v="15"/>
    <n v="35000"/>
    <n v="-161.339112316898"/>
    <n v="-79.797522210149594"/>
    <n v="2550"/>
    <n v="600"/>
    <n v="120"/>
    <x v="0"/>
    <n v="40"/>
    <n v="72000"/>
  </r>
  <r>
    <x v="274"/>
    <s v="Chicago"/>
    <x v="4"/>
    <n v="10"/>
    <n v="30000"/>
    <n v="17.5891194278481"/>
    <n v="-83.758913239308001"/>
    <n v="2636"/>
    <n v="402"/>
    <n v="114"/>
    <x v="9"/>
    <n v="40.200000000000003"/>
    <n v="45828"/>
  </r>
  <r>
    <x v="275"/>
    <s v="Chicago"/>
    <x v="2"/>
    <n v="10"/>
    <n v="30000"/>
    <n v="-76.452217544275797"/>
    <n v="-19.456098670096399"/>
    <n v="2928"/>
    <n v="354"/>
    <n v="121"/>
    <x v="5"/>
    <n v="35.4"/>
    <n v="42834"/>
  </r>
  <r>
    <x v="276"/>
    <s v="Miami"/>
    <x v="3"/>
    <n v="7"/>
    <n v="35000"/>
    <n v="-69.560424172029201"/>
    <n v="35.489464584836497"/>
    <n v="2000"/>
    <n v="150"/>
    <n v="50"/>
    <x v="14"/>
    <n v="21.428571428571427"/>
    <n v="7500"/>
  </r>
  <r>
    <x v="277"/>
    <s v="Chicago"/>
    <x v="1"/>
    <n v="9"/>
    <n v="30000"/>
    <n v="-52.934938757151599"/>
    <n v="-55.181638267833101"/>
    <n v="2678"/>
    <n v="356"/>
    <n v="137"/>
    <x v="17"/>
    <n v="39.555555555555557"/>
    <n v="48772"/>
  </r>
  <r>
    <x v="278"/>
    <s v="Chicago"/>
    <x v="2"/>
    <n v="15"/>
    <n v="35000"/>
    <n v="43.665281657859701"/>
    <n v="25.470806626125299"/>
    <n v="2500"/>
    <n v="300"/>
    <n v="50"/>
    <x v="5"/>
    <n v="20"/>
    <n v="15000"/>
  </r>
  <r>
    <x v="279"/>
    <s v="Chicago"/>
    <x v="2"/>
    <n v="12"/>
    <n v="30000"/>
    <n v="-59.742012359243098"/>
    <n v="-43.2309351707461"/>
    <n v="2500"/>
    <n v="600"/>
    <n v="50"/>
    <x v="5"/>
    <n v="50"/>
    <n v="30000"/>
  </r>
  <r>
    <x v="280"/>
    <s v="Los Angeles"/>
    <x v="3"/>
    <n v="8"/>
    <n v="30000"/>
    <n v="83.771658212500896"/>
    <n v="69.495499586432899"/>
    <n v="2760"/>
    <n v="374"/>
    <n v="131"/>
    <x v="10"/>
    <n v="46.75"/>
    <n v="48994"/>
  </r>
  <r>
    <x v="281"/>
    <s v="Miami"/>
    <x v="2"/>
    <n v="8"/>
    <n v="30000"/>
    <n v="-34.370141193406901"/>
    <n v="71.224189967990995"/>
    <n v="2718"/>
    <n v="354"/>
    <n v="115"/>
    <x v="7"/>
    <n v="44.25"/>
    <n v="40710"/>
  </r>
  <r>
    <x v="282"/>
    <s v="New York"/>
    <x v="1"/>
    <n v="5"/>
    <n v="32000"/>
    <n v="-155.39284788841499"/>
    <n v="-36.4883032293612"/>
    <n v="2000"/>
    <n v="450"/>
    <n v="100"/>
    <x v="15"/>
    <n v="90"/>
    <n v="45000"/>
  </r>
  <r>
    <x v="283"/>
    <s v="Houston"/>
    <x v="2"/>
    <n v="12"/>
    <n v="32000"/>
    <n v="102.153543294279"/>
    <n v="-48.601124286616702"/>
    <n v="2647"/>
    <n v="300"/>
    <n v="200"/>
    <x v="19"/>
    <n v="25"/>
    <n v="60000"/>
  </r>
  <r>
    <x v="284"/>
    <s v="New York"/>
    <x v="1"/>
    <n v="9"/>
    <n v="30000"/>
    <n v="-77.127003146625796"/>
    <n v="-15.9652850280784"/>
    <n v="3500"/>
    <n v="300"/>
    <n v="150"/>
    <x v="15"/>
    <n v="33.333333333333336"/>
    <n v="45000"/>
  </r>
  <r>
    <x v="285"/>
    <s v="Miami"/>
    <x v="3"/>
    <n v="15"/>
    <n v="30000"/>
    <n v="-24.203923344265501"/>
    <n v="-46.7043146675732"/>
    <n v="3000"/>
    <n v="450"/>
    <n v="50"/>
    <x v="14"/>
    <n v="30"/>
    <n v="22500"/>
  </r>
  <r>
    <x v="286"/>
    <s v="Houston"/>
    <x v="4"/>
    <n v="8"/>
    <n v="30000"/>
    <n v="66.759797959884494"/>
    <n v="31.029091792506701"/>
    <n v="2500"/>
    <n v="402"/>
    <n v="111"/>
    <x v="11"/>
    <n v="50.25"/>
    <n v="44622"/>
  </r>
  <r>
    <x v="287"/>
    <s v="Miami"/>
    <x v="2"/>
    <n v="15"/>
    <n v="30000"/>
    <n v="-60.315783426463703"/>
    <n v="58.691643218691397"/>
    <n v="3500"/>
    <n v="300"/>
    <n v="115"/>
    <x v="7"/>
    <n v="20"/>
    <n v="34500"/>
  </r>
  <r>
    <x v="288"/>
    <s v="Chicago"/>
    <x v="4"/>
    <n v="7"/>
    <n v="35000"/>
    <n v="-159.62916378718199"/>
    <n v="31.156583564019101"/>
    <n v="2636"/>
    <n v="450"/>
    <n v="114"/>
    <x v="9"/>
    <n v="64.285714285714292"/>
    <n v="51300"/>
  </r>
  <r>
    <x v="289"/>
    <s v="Houston"/>
    <x v="1"/>
    <n v="9"/>
    <n v="30000"/>
    <n v="-45.388423075387102"/>
    <n v="58.383080504882898"/>
    <n v="2500"/>
    <n v="356"/>
    <n v="127"/>
    <x v="12"/>
    <n v="39.555555555555557"/>
    <n v="45212"/>
  </r>
  <r>
    <x v="290"/>
    <s v="Chicago"/>
    <x v="2"/>
    <n v="10"/>
    <n v="30000"/>
    <n v="160.00148976994899"/>
    <n v="-18.5414108026546"/>
    <n v="2928"/>
    <n v="354"/>
    <n v="121"/>
    <x v="5"/>
    <n v="35.4"/>
    <n v="42834"/>
  </r>
  <r>
    <x v="291"/>
    <s v="New York"/>
    <x v="0"/>
    <n v="9"/>
    <n v="30000"/>
    <n v="51.024383027481001"/>
    <n v="-61.862945272405"/>
    <n v="2954"/>
    <n v="397"/>
    <n v="128"/>
    <x v="24"/>
    <n v="44.111111111111114"/>
    <n v="50816"/>
  </r>
  <r>
    <x v="292"/>
    <s v="New York"/>
    <x v="4"/>
    <n v="11"/>
    <n v="30000"/>
    <n v="61.732493520194502"/>
    <n v="42.831170531566599"/>
    <n v="2588"/>
    <n v="402"/>
    <n v="134"/>
    <x v="20"/>
    <n v="36.545454545454547"/>
    <n v="53868"/>
  </r>
  <r>
    <x v="293"/>
    <s v="Houston"/>
    <x v="2"/>
    <n v="12"/>
    <n v="30000"/>
    <n v="47.621575309550302"/>
    <n v="-25.1145890745203"/>
    <n v="2000"/>
    <n v="300"/>
    <n v="100"/>
    <x v="19"/>
    <n v="25"/>
    <n v="30000"/>
  </r>
  <r>
    <x v="294"/>
    <s v="Houston"/>
    <x v="4"/>
    <n v="8"/>
    <n v="30000"/>
    <n v="-108.362829974603"/>
    <n v="30.8287485412439"/>
    <n v="2500"/>
    <n v="402"/>
    <n v="111"/>
    <x v="11"/>
    <n v="50.25"/>
    <n v="44622"/>
  </r>
  <r>
    <x v="295"/>
    <s v="Miami"/>
    <x v="2"/>
    <n v="9"/>
    <n v="35000"/>
    <n v="-29.399808923179201"/>
    <n v="-41.284090443282203"/>
    <n v="2500"/>
    <n v="600"/>
    <n v="150"/>
    <x v="7"/>
    <n v="66.666666666666671"/>
    <n v="90000"/>
  </r>
  <r>
    <x v="296"/>
    <s v="Miami"/>
    <x v="3"/>
    <n v="8"/>
    <n v="30000"/>
    <n v="90.338327410794605"/>
    <n v="-75.378665734798901"/>
    <n v="2615"/>
    <n v="374"/>
    <n v="121"/>
    <x v="14"/>
    <n v="46.75"/>
    <n v="45254"/>
  </r>
  <r>
    <x v="297"/>
    <s v="Chicago"/>
    <x v="4"/>
    <n v="15"/>
    <n v="35000"/>
    <n v="-143.505756880863"/>
    <n v="88.664723187797406"/>
    <n v="2000"/>
    <n v="600"/>
    <n v="114"/>
    <x v="9"/>
    <n v="40"/>
    <n v="68400"/>
  </r>
  <r>
    <x v="298"/>
    <s v="Houston"/>
    <x v="0"/>
    <n v="10"/>
    <n v="30000"/>
    <n v="-79.973000607703597"/>
    <n v="-61.883728572492103"/>
    <n v="2550"/>
    <n v="397"/>
    <n v="120"/>
    <x v="0"/>
    <n v="39.700000000000003"/>
    <n v="47640"/>
  </r>
  <r>
    <x v="299"/>
    <s v="New York"/>
    <x v="0"/>
    <n v="9"/>
    <n v="30000"/>
    <n v="-80.525120952292696"/>
    <n v="87.915778913426607"/>
    <n v="2954"/>
    <n v="397"/>
    <n v="128"/>
    <x v="24"/>
    <n v="44.111111111111114"/>
    <n v="50816"/>
  </r>
  <r>
    <x v="300"/>
    <s v="Miami"/>
    <x v="1"/>
    <n v="10"/>
    <n v="30000"/>
    <n v="-24.473186065977799"/>
    <n v="85.910387861960501"/>
    <n v="2931"/>
    <n v="356"/>
    <n v="105"/>
    <x v="3"/>
    <n v="35.6"/>
    <n v="37380"/>
  </r>
  <r>
    <x v="301"/>
    <s v="Miami"/>
    <x v="2"/>
    <n v="7"/>
    <n v="35000"/>
    <n v="172.932746739187"/>
    <n v="52.887258703447202"/>
    <n v="2500"/>
    <n v="300"/>
    <n v="115"/>
    <x v="7"/>
    <n v="42.857142857142854"/>
    <n v="34500"/>
  </r>
  <r>
    <x v="302"/>
    <s v="New York"/>
    <x v="4"/>
    <n v="11"/>
    <n v="30000"/>
    <n v="-155.69908319382401"/>
    <n v="28.696133174759598"/>
    <n v="2588"/>
    <n v="402"/>
    <n v="134"/>
    <x v="20"/>
    <n v="36.545454545454547"/>
    <n v="53868"/>
  </r>
  <r>
    <x v="303"/>
    <s v="Miami"/>
    <x v="1"/>
    <n v="7"/>
    <n v="32000"/>
    <n v="6.7323579770141997"/>
    <n v="14.0052690451953"/>
    <n v="3500"/>
    <n v="300"/>
    <n v="105"/>
    <x v="3"/>
    <n v="42.857142857142854"/>
    <n v="31500"/>
  </r>
  <r>
    <x v="304"/>
    <s v="Chicago"/>
    <x v="4"/>
    <n v="15"/>
    <n v="30000"/>
    <n v="-115.428714475604"/>
    <n v="65.898278168010293"/>
    <n v="3500"/>
    <n v="450"/>
    <n v="50"/>
    <x v="9"/>
    <n v="30"/>
    <n v="22500"/>
  </r>
  <r>
    <x v="305"/>
    <s v="Houston"/>
    <x v="2"/>
    <n v="9"/>
    <n v="30000"/>
    <n v="169.44355634750801"/>
    <n v="-37.900886108492202"/>
    <n v="2647"/>
    <n v="354"/>
    <n v="113"/>
    <x v="19"/>
    <n v="39.333333333333336"/>
    <n v="40002"/>
  </r>
  <r>
    <x v="306"/>
    <s v="New York"/>
    <x v="0"/>
    <n v="9"/>
    <n v="30000"/>
    <n v="-139.210738298113"/>
    <n v="-5.8173817527221301"/>
    <n v="2954"/>
    <n v="397"/>
    <n v="128"/>
    <x v="24"/>
    <n v="44.111111111111114"/>
    <n v="50816"/>
  </r>
  <r>
    <x v="307"/>
    <s v="Houston"/>
    <x v="3"/>
    <n v="8"/>
    <n v="30000"/>
    <n v="-34.703639149827097"/>
    <n v="21.490194485970299"/>
    <n v="2846"/>
    <n v="374"/>
    <n v="138"/>
    <x v="8"/>
    <n v="46.75"/>
    <n v="51612"/>
  </r>
  <r>
    <x v="308"/>
    <s v="Miami"/>
    <x v="0"/>
    <n v="5"/>
    <n v="35000"/>
    <n v="85.6385945404582"/>
    <n v="-15.985714343491599"/>
    <n v="2729"/>
    <n v="300"/>
    <n v="200"/>
    <x v="1"/>
    <n v="60"/>
    <n v="60000"/>
  </r>
  <r>
    <x v="309"/>
    <s v="Miami"/>
    <x v="1"/>
    <n v="10"/>
    <n v="30000"/>
    <n v="73.639594089880305"/>
    <n v="-13.052438263751799"/>
    <n v="2931"/>
    <n v="356"/>
    <n v="105"/>
    <x v="3"/>
    <n v="35.6"/>
    <n v="37380"/>
  </r>
  <r>
    <x v="310"/>
    <s v="New York"/>
    <x v="3"/>
    <n v="9"/>
    <n v="30000"/>
    <n v="-27.817690718184402"/>
    <n v="-30.548759849624801"/>
    <n v="2760"/>
    <n v="374"/>
    <n v="107"/>
    <x v="16"/>
    <n v="41.555555555555557"/>
    <n v="40018"/>
  </r>
  <r>
    <x v="311"/>
    <s v="Chicago"/>
    <x v="1"/>
    <n v="9"/>
    <n v="30000"/>
    <n v="-55.251299537021403"/>
    <n v="11.5617270032165"/>
    <n v="2678"/>
    <n v="356"/>
    <n v="137"/>
    <x v="17"/>
    <n v="39.555555555555557"/>
    <n v="48772"/>
  </r>
  <r>
    <x v="312"/>
    <s v="Los Angeles"/>
    <x v="2"/>
    <n v="8"/>
    <n v="30000"/>
    <n v="-36.859543720966599"/>
    <n v="63.103415042720897"/>
    <n v="2882"/>
    <n v="354"/>
    <n v="125"/>
    <x v="18"/>
    <n v="44.25"/>
    <n v="44250"/>
  </r>
  <r>
    <x v="313"/>
    <s v="New York"/>
    <x v="3"/>
    <n v="15"/>
    <n v="35000"/>
    <n v="-84.8605452628899"/>
    <n v="-53.724891958863701"/>
    <n v="3500"/>
    <n v="600"/>
    <n v="50"/>
    <x v="16"/>
    <n v="40"/>
    <n v="30000"/>
  </r>
  <r>
    <x v="314"/>
    <s v="Los Angeles"/>
    <x v="1"/>
    <n v="8"/>
    <n v="30000"/>
    <n v="-106.080142065552"/>
    <n v="78.197946975619502"/>
    <n v="3000"/>
    <n v="356"/>
    <n v="145"/>
    <x v="4"/>
    <n v="44.5"/>
    <n v="51620"/>
  </r>
  <r>
    <x v="315"/>
    <s v="Los Angeles"/>
    <x v="2"/>
    <n v="7"/>
    <n v="30000"/>
    <n v="-6.1057088787996197"/>
    <n v="34.035777674681299"/>
    <n v="3000"/>
    <n v="150"/>
    <n v="200"/>
    <x v="18"/>
    <n v="21.428571428571427"/>
    <n v="30000"/>
  </r>
  <r>
    <x v="316"/>
    <s v="Chicago"/>
    <x v="0"/>
    <n v="8"/>
    <n v="30000"/>
    <n v="-83.3278478156614"/>
    <n v="58.1891782824054"/>
    <n v="2583"/>
    <n v="397"/>
    <n v="133"/>
    <x v="2"/>
    <n v="49.625"/>
    <n v="52801"/>
  </r>
  <r>
    <x v="317"/>
    <s v="Los Angeles"/>
    <x v="2"/>
    <n v="7"/>
    <n v="30000"/>
    <n v="-76.513800636989998"/>
    <n v="10.1143246734021"/>
    <n v="2500"/>
    <n v="354"/>
    <n v="200"/>
    <x v="18"/>
    <n v="50.571428571428569"/>
    <n v="70800"/>
  </r>
  <r>
    <x v="318"/>
    <s v="Los Angeles"/>
    <x v="4"/>
    <n v="11"/>
    <n v="30000"/>
    <n v="56.432182850840498"/>
    <n v="50.313006256331398"/>
    <n v="2794"/>
    <n v="402"/>
    <n v="113"/>
    <x v="22"/>
    <n v="36.545454545454547"/>
    <n v="45426"/>
  </r>
  <r>
    <x v="319"/>
    <s v="Chicago"/>
    <x v="2"/>
    <n v="10"/>
    <n v="30000"/>
    <n v="168.673439411961"/>
    <n v="-87.083928478895899"/>
    <n v="2928"/>
    <n v="354"/>
    <n v="121"/>
    <x v="5"/>
    <n v="35.4"/>
    <n v="42834"/>
  </r>
  <r>
    <x v="320"/>
    <s v="Los Angeles"/>
    <x v="2"/>
    <n v="12"/>
    <n v="30000"/>
    <n v="37.309392201374997"/>
    <n v="57.308476460316299"/>
    <n v="2500"/>
    <n v="150"/>
    <n v="200"/>
    <x v="18"/>
    <n v="12.5"/>
    <n v="30000"/>
  </r>
  <r>
    <x v="321"/>
    <s v="Los Angeles"/>
    <x v="4"/>
    <n v="11"/>
    <n v="30000"/>
    <n v="-152.287391856612"/>
    <n v="-82.775005364633998"/>
    <n v="2794"/>
    <n v="402"/>
    <n v="113"/>
    <x v="22"/>
    <n v="36.545454545454547"/>
    <n v="45426"/>
  </r>
  <r>
    <x v="322"/>
    <s v="Los Angeles"/>
    <x v="1"/>
    <n v="7"/>
    <n v="30000"/>
    <n v="-152.78989901253601"/>
    <n v="70.184407745315198"/>
    <n v="3000"/>
    <n v="356"/>
    <n v="200"/>
    <x v="4"/>
    <n v="50.857142857142854"/>
    <n v="71200"/>
  </r>
  <r>
    <x v="323"/>
    <s v="New York"/>
    <x v="1"/>
    <n v="9"/>
    <n v="30000"/>
    <n v="162.512359504404"/>
    <n v="88.553294502955794"/>
    <n v="2800"/>
    <n v="356"/>
    <n v="120"/>
    <x v="15"/>
    <n v="39.555555555555557"/>
    <n v="42720"/>
  </r>
  <r>
    <x v="324"/>
    <s v="New York"/>
    <x v="2"/>
    <n v="9"/>
    <n v="30000"/>
    <n v="-72.9753154893599"/>
    <n v="-37.067856808179997"/>
    <n v="3500"/>
    <n v="600"/>
    <n v="50"/>
    <x v="13"/>
    <n v="66.666666666666671"/>
    <n v="30000"/>
  </r>
  <r>
    <x v="325"/>
    <s v="New York"/>
    <x v="4"/>
    <n v="5"/>
    <n v="32000"/>
    <n v="-146.85588501030901"/>
    <n v="-52.142659868557097"/>
    <n v="2500"/>
    <n v="300"/>
    <n v="150"/>
    <x v="20"/>
    <n v="60"/>
    <n v="45000"/>
  </r>
  <r>
    <x v="326"/>
    <s v="Chicago"/>
    <x v="4"/>
    <n v="10"/>
    <n v="30000"/>
    <n v="35.656051374137299"/>
    <n v="47.7654054944473"/>
    <n v="2636"/>
    <n v="402"/>
    <n v="114"/>
    <x v="9"/>
    <n v="40.200000000000003"/>
    <n v="45828"/>
  </r>
  <r>
    <x v="327"/>
    <s v="Miami"/>
    <x v="0"/>
    <n v="9"/>
    <n v="30000"/>
    <n v="44.513560184495802"/>
    <n v="-44.455258634354401"/>
    <n v="2729"/>
    <n v="397"/>
    <n v="126"/>
    <x v="1"/>
    <n v="44.111111111111114"/>
    <n v="50022"/>
  </r>
  <r>
    <x v="328"/>
    <s v="Los Angeles"/>
    <x v="1"/>
    <n v="8"/>
    <n v="30000"/>
    <n v="53.461735242727698"/>
    <n v="65.801228970996604"/>
    <n v="3000"/>
    <n v="356"/>
    <n v="145"/>
    <x v="4"/>
    <n v="44.5"/>
    <n v="51620"/>
  </r>
  <r>
    <x v="329"/>
    <s v="Los Angeles"/>
    <x v="3"/>
    <n v="9"/>
    <n v="35000"/>
    <n v="-83.735269971285106"/>
    <n v="-71.488333411654196"/>
    <n v="2760"/>
    <n v="600"/>
    <n v="100"/>
    <x v="10"/>
    <n v="66.666666666666671"/>
    <n v="60000"/>
  </r>
  <r>
    <x v="330"/>
    <s v="Chicago"/>
    <x v="1"/>
    <n v="15"/>
    <n v="35000"/>
    <n v="-174.56015368278901"/>
    <n v="-67.328064651715493"/>
    <n v="3000"/>
    <n v="450"/>
    <n v="100"/>
    <x v="17"/>
    <n v="30"/>
    <n v="45000"/>
  </r>
  <r>
    <x v="331"/>
    <s v="Los Angeles"/>
    <x v="1"/>
    <n v="8"/>
    <n v="30000"/>
    <n v="167.40553300361"/>
    <n v="86.247279918110806"/>
    <n v="3000"/>
    <n v="356"/>
    <n v="145"/>
    <x v="4"/>
    <n v="44.5"/>
    <n v="51620"/>
  </r>
  <r>
    <x v="332"/>
    <s v="New York"/>
    <x v="0"/>
    <n v="9"/>
    <n v="30000"/>
    <n v="-89.678503551203093"/>
    <n v="31.291001688600801"/>
    <n v="2954"/>
    <n v="397"/>
    <n v="128"/>
    <x v="24"/>
    <n v="44.111111111111114"/>
    <n v="50816"/>
  </r>
  <r>
    <x v="333"/>
    <s v="Miami"/>
    <x v="3"/>
    <n v="8"/>
    <n v="30000"/>
    <n v="63.369463698917102"/>
    <n v="62.439700397211503"/>
    <n v="2615"/>
    <n v="374"/>
    <n v="121"/>
    <x v="14"/>
    <n v="46.75"/>
    <n v="45254"/>
  </r>
  <r>
    <x v="334"/>
    <s v="Houston"/>
    <x v="0"/>
    <n v="10"/>
    <n v="30000"/>
    <n v="74.386753156335502"/>
    <n v="-31.6207120767268"/>
    <n v="2550"/>
    <n v="397"/>
    <n v="120"/>
    <x v="0"/>
    <n v="39.700000000000003"/>
    <n v="47640"/>
  </r>
  <r>
    <x v="335"/>
    <s v="Los Angeles"/>
    <x v="3"/>
    <n v="5"/>
    <n v="30000"/>
    <n v="39.602670148614898"/>
    <n v="31.7670749137088"/>
    <n v="3000"/>
    <n v="374"/>
    <n v="131"/>
    <x v="10"/>
    <n v="74.8"/>
    <n v="48994"/>
  </r>
  <r>
    <x v="336"/>
    <s v="New York"/>
    <x v="2"/>
    <n v="9"/>
    <n v="32000"/>
    <n v="-67.353338083086598"/>
    <n v="16.963528915547499"/>
    <n v="2847"/>
    <n v="300"/>
    <n v="100"/>
    <x v="13"/>
    <n v="33.333333333333336"/>
    <n v="30000"/>
  </r>
  <r>
    <x v="337"/>
    <s v="Houston"/>
    <x v="3"/>
    <n v="5"/>
    <n v="30000"/>
    <n v="-82.405348644936296"/>
    <n v="18.5670216221305"/>
    <n v="3000"/>
    <n v="300"/>
    <n v="138"/>
    <x v="8"/>
    <n v="60"/>
    <n v="41400"/>
  </r>
  <r>
    <x v="338"/>
    <s v="Miami"/>
    <x v="0"/>
    <n v="15"/>
    <n v="30000"/>
    <n v="35.160581772973103"/>
    <n v="32.855842716789901"/>
    <n v="2729"/>
    <n v="300"/>
    <n v="150"/>
    <x v="1"/>
    <n v="20"/>
    <n v="45000"/>
  </r>
  <r>
    <x v="339"/>
    <s v="Houston"/>
    <x v="1"/>
    <n v="9"/>
    <n v="30000"/>
    <n v="131.79442810020899"/>
    <n v="13.5646511632377"/>
    <n v="3000"/>
    <n v="600"/>
    <n v="50"/>
    <x v="12"/>
    <n v="66.666666666666671"/>
    <n v="30000"/>
  </r>
  <r>
    <x v="340"/>
    <s v="New York"/>
    <x v="3"/>
    <n v="9"/>
    <n v="32000"/>
    <n v="160.82414241242199"/>
    <n v="-12.7687735255201"/>
    <n v="3000"/>
    <n v="300"/>
    <n v="150"/>
    <x v="16"/>
    <n v="33.333333333333336"/>
    <n v="45000"/>
  </r>
  <r>
    <x v="341"/>
    <s v="Houston"/>
    <x v="3"/>
    <n v="5"/>
    <n v="30000"/>
    <n v="-141.87391041464701"/>
    <n v="-40.333915011501603"/>
    <n v="2500"/>
    <n v="150"/>
    <n v="150"/>
    <x v="8"/>
    <n v="30"/>
    <n v="22500"/>
  </r>
  <r>
    <x v="342"/>
    <s v="Chicago"/>
    <x v="4"/>
    <n v="10"/>
    <n v="30000"/>
    <n v="-124.26169946482101"/>
    <n v="48.344639564376401"/>
    <n v="2636"/>
    <n v="402"/>
    <n v="114"/>
    <x v="9"/>
    <n v="40.200000000000003"/>
    <n v="45828"/>
  </r>
  <r>
    <x v="343"/>
    <s v="Houston"/>
    <x v="1"/>
    <n v="12"/>
    <n v="30000"/>
    <n v="160.10505316190901"/>
    <n v="-49.270962599426497"/>
    <n v="2500"/>
    <n v="356"/>
    <n v="150"/>
    <x v="12"/>
    <n v="29.666666666666668"/>
    <n v="53400"/>
  </r>
  <r>
    <x v="344"/>
    <s v="Los Angeles"/>
    <x v="2"/>
    <n v="8"/>
    <n v="30000"/>
    <n v="85.152682200525305"/>
    <n v="34.6237751077946"/>
    <n v="2882"/>
    <n v="354"/>
    <n v="125"/>
    <x v="18"/>
    <n v="44.25"/>
    <n v="44250"/>
  </r>
  <r>
    <x v="345"/>
    <s v="Los Angeles"/>
    <x v="0"/>
    <n v="7"/>
    <n v="32000"/>
    <n v="137.877776938718"/>
    <n v="-48.000091923121197"/>
    <n v="2000"/>
    <n v="150"/>
    <n v="200"/>
    <x v="23"/>
    <n v="21.428571428571427"/>
    <n v="30000"/>
  </r>
  <r>
    <x v="346"/>
    <s v="Chicago"/>
    <x v="2"/>
    <n v="10"/>
    <n v="30000"/>
    <n v="-107.052251711276"/>
    <n v="22.5594305918017"/>
    <n v="2928"/>
    <n v="354"/>
    <n v="121"/>
    <x v="5"/>
    <n v="35.4"/>
    <n v="42834"/>
  </r>
  <r>
    <x v="347"/>
    <s v="New York"/>
    <x v="1"/>
    <n v="12"/>
    <n v="35000"/>
    <n v="31.5309135993847"/>
    <n v="44.474088083225197"/>
    <n v="2800"/>
    <n v="600"/>
    <n v="120"/>
    <x v="15"/>
    <n v="50"/>
    <n v="72000"/>
  </r>
  <r>
    <x v="348"/>
    <s v="Los Angeles"/>
    <x v="3"/>
    <n v="9"/>
    <n v="30000"/>
    <n v="72.410253990290499"/>
    <n v="-50.631499996823003"/>
    <n v="2000"/>
    <n v="374"/>
    <n v="150"/>
    <x v="10"/>
    <n v="41.555555555555557"/>
    <n v="56100"/>
  </r>
  <r>
    <x v="349"/>
    <s v="Miami"/>
    <x v="3"/>
    <n v="12"/>
    <n v="30000"/>
    <n v="64.840278760910195"/>
    <n v="-79.210205844964506"/>
    <n v="2500"/>
    <n v="600"/>
    <n v="50"/>
    <x v="14"/>
    <n v="50"/>
    <n v="30000"/>
  </r>
  <r>
    <x v="350"/>
    <s v="Los Angeles"/>
    <x v="1"/>
    <n v="8"/>
    <n v="30000"/>
    <n v="-33.065391287988703"/>
    <n v="-66.424726261048704"/>
    <n v="3000"/>
    <n v="356"/>
    <n v="145"/>
    <x v="4"/>
    <n v="44.5"/>
    <n v="51620"/>
  </r>
  <r>
    <x v="351"/>
    <s v="Los Angeles"/>
    <x v="3"/>
    <n v="8"/>
    <n v="30000"/>
    <n v="-174.45783899112899"/>
    <n v="19.079454108784599"/>
    <n v="2760"/>
    <n v="374"/>
    <n v="131"/>
    <x v="10"/>
    <n v="46.75"/>
    <n v="48994"/>
  </r>
  <r>
    <x v="352"/>
    <s v="New York"/>
    <x v="3"/>
    <n v="9"/>
    <n v="30000"/>
    <n v="29.853380449534701"/>
    <n v="62.900353120632403"/>
    <n v="2760"/>
    <n v="374"/>
    <n v="107"/>
    <x v="16"/>
    <n v="41.555555555555557"/>
    <n v="40018"/>
  </r>
  <r>
    <x v="353"/>
    <s v="Houston"/>
    <x v="3"/>
    <n v="9"/>
    <n v="32000"/>
    <n v="-88.883445895340799"/>
    <n v="-81.900572177623602"/>
    <n v="3000"/>
    <n v="374"/>
    <n v="200"/>
    <x v="8"/>
    <n v="41.555555555555557"/>
    <n v="74800"/>
  </r>
  <r>
    <x v="354"/>
    <s v="Los Angeles"/>
    <x v="0"/>
    <n v="9"/>
    <n v="30000"/>
    <n v="-17.908471388559501"/>
    <n v="42.147226627496302"/>
    <n v="2500"/>
    <n v="397"/>
    <n v="150"/>
    <x v="23"/>
    <n v="44.111111111111114"/>
    <n v="59550"/>
  </r>
  <r>
    <x v="355"/>
    <s v="Chicago"/>
    <x v="0"/>
    <n v="8"/>
    <n v="30000"/>
    <n v="164.72916543017399"/>
    <n v="-28.562643728990601"/>
    <n v="2583"/>
    <n v="397"/>
    <n v="133"/>
    <x v="2"/>
    <n v="49.625"/>
    <n v="52801"/>
  </r>
  <r>
    <x v="356"/>
    <s v="Houston"/>
    <x v="4"/>
    <n v="15"/>
    <n v="35000"/>
    <n v="-36.347285648723499"/>
    <n v="-3.8648934144859499"/>
    <n v="3000"/>
    <n v="300"/>
    <n v="50"/>
    <x v="11"/>
    <n v="20"/>
    <n v="15000"/>
  </r>
  <r>
    <x v="357"/>
    <s v="Miami"/>
    <x v="2"/>
    <n v="8"/>
    <n v="30000"/>
    <n v="122.328578399194"/>
    <n v="77.194718972201798"/>
    <n v="2718"/>
    <n v="354"/>
    <n v="115"/>
    <x v="7"/>
    <n v="44.25"/>
    <n v="40710"/>
  </r>
  <r>
    <x v="358"/>
    <s v="New York"/>
    <x v="1"/>
    <n v="9"/>
    <n v="35000"/>
    <n v="-112.12538193027"/>
    <n v="-30.2451291475478"/>
    <n v="3500"/>
    <n v="450"/>
    <n v="100"/>
    <x v="15"/>
    <n v="50"/>
    <n v="45000"/>
  </r>
  <r>
    <x v="359"/>
    <s v="Miami"/>
    <x v="1"/>
    <n v="10"/>
    <n v="30000"/>
    <n v="62.085779289010397"/>
    <n v="-6.2393518908925101"/>
    <n v="2931"/>
    <n v="356"/>
    <n v="105"/>
    <x v="3"/>
    <n v="35.6"/>
    <n v="37380"/>
  </r>
  <r>
    <x v="360"/>
    <s v="Houston"/>
    <x v="1"/>
    <n v="7"/>
    <n v="30000"/>
    <n v="171.72250359802001"/>
    <n v="-87.537165343077405"/>
    <n v="2500"/>
    <n v="600"/>
    <n v="150"/>
    <x v="12"/>
    <n v="85.714285714285708"/>
    <n v="90000"/>
  </r>
  <r>
    <x v="361"/>
    <s v="Houston"/>
    <x v="4"/>
    <n v="8"/>
    <n v="30000"/>
    <n v="-143.31848368574299"/>
    <n v="-75.312230399129106"/>
    <n v="2500"/>
    <n v="402"/>
    <n v="111"/>
    <x v="11"/>
    <n v="50.25"/>
    <n v="44622"/>
  </r>
  <r>
    <x v="362"/>
    <s v="Houston"/>
    <x v="0"/>
    <n v="10"/>
    <n v="30000"/>
    <n v="-177.004820798211"/>
    <n v="-43.453513595738897"/>
    <n v="2550"/>
    <n v="397"/>
    <n v="120"/>
    <x v="0"/>
    <n v="39.700000000000003"/>
    <n v="47640"/>
  </r>
  <r>
    <x v="363"/>
    <s v="Miami"/>
    <x v="4"/>
    <n v="9"/>
    <n v="30000"/>
    <n v="-23.910194652258799"/>
    <n v="-84.9865966522066"/>
    <n v="2700"/>
    <n v="402"/>
    <n v="128"/>
    <x v="21"/>
    <n v="44.666666666666664"/>
    <n v="51456"/>
  </r>
  <r>
    <x v="364"/>
    <s v="Houston"/>
    <x v="1"/>
    <n v="5"/>
    <n v="32000"/>
    <n v="-146.65482610150801"/>
    <n v="23.647558688685201"/>
    <n v="2000"/>
    <n v="150"/>
    <n v="150"/>
    <x v="12"/>
    <n v="30"/>
    <n v="22500"/>
  </r>
  <r>
    <x v="365"/>
    <s v="Miami"/>
    <x v="2"/>
    <n v="8"/>
    <n v="30000"/>
    <n v="89.4183658834433"/>
    <n v="-13.2482957757079"/>
    <n v="2718"/>
    <n v="354"/>
    <n v="115"/>
    <x v="7"/>
    <n v="44.25"/>
    <n v="40710"/>
  </r>
  <r>
    <x v="366"/>
    <s v="Houston"/>
    <x v="3"/>
    <n v="7"/>
    <n v="30000"/>
    <n v="149.23751898548099"/>
    <n v="8.6661364910439698"/>
    <n v="3000"/>
    <n v="150"/>
    <n v="100"/>
    <x v="8"/>
    <n v="21.428571428571427"/>
    <n v="15000"/>
  </r>
  <r>
    <x v="367"/>
    <s v="Chicago"/>
    <x v="0"/>
    <n v="7"/>
    <n v="35000"/>
    <n v="-23.752449824846799"/>
    <n v="-58.563506538660697"/>
    <n v="3000"/>
    <n v="300"/>
    <n v="50"/>
    <x v="2"/>
    <n v="42.857142857142854"/>
    <n v="15000"/>
  </r>
  <r>
    <x v="368"/>
    <s v="Houston"/>
    <x v="0"/>
    <n v="9"/>
    <n v="32000"/>
    <n v="-86.8638088240413"/>
    <n v="-36.732234701409098"/>
    <n v="2000"/>
    <n v="300"/>
    <n v="120"/>
    <x v="0"/>
    <n v="33.333333333333336"/>
    <n v="36000"/>
  </r>
  <r>
    <x v="369"/>
    <s v="Miami"/>
    <x v="4"/>
    <n v="5"/>
    <n v="35000"/>
    <n v="-23.614805157620498"/>
    <n v="29.488405473490499"/>
    <n v="3500"/>
    <n v="450"/>
    <n v="128"/>
    <x v="21"/>
    <n v="90"/>
    <n v="57600"/>
  </r>
  <r>
    <x v="370"/>
    <s v="Los Angeles"/>
    <x v="0"/>
    <n v="10"/>
    <n v="30000"/>
    <n v="80.4412144260004"/>
    <n v="83.754490253471999"/>
    <n v="2586"/>
    <n v="397"/>
    <n v="119"/>
    <x v="23"/>
    <n v="39.700000000000003"/>
    <n v="47243"/>
  </r>
  <r>
    <x v="371"/>
    <s v="Houston"/>
    <x v="1"/>
    <n v="9"/>
    <n v="30000"/>
    <n v="-176.74050183106601"/>
    <n v="-80.924980751602305"/>
    <n v="2500"/>
    <n v="356"/>
    <n v="127"/>
    <x v="12"/>
    <n v="39.555555555555557"/>
    <n v="45212"/>
  </r>
  <r>
    <x v="372"/>
    <s v="Los Angeles"/>
    <x v="1"/>
    <n v="12"/>
    <n v="35000"/>
    <n v="32.203436214490999"/>
    <n v="70.269177753947901"/>
    <n v="3000"/>
    <n v="450"/>
    <n v="50"/>
    <x v="4"/>
    <n v="37.5"/>
    <n v="22500"/>
  </r>
  <r>
    <x v="373"/>
    <s v="Chicago"/>
    <x v="4"/>
    <n v="10"/>
    <n v="30000"/>
    <n v="40.785006559456498"/>
    <n v="13.838616236017501"/>
    <n v="2500"/>
    <n v="402"/>
    <n v="50"/>
    <x v="9"/>
    <n v="40.200000000000003"/>
    <n v="20100"/>
  </r>
  <r>
    <x v="374"/>
    <s v="New York"/>
    <x v="1"/>
    <n v="5"/>
    <n v="35000"/>
    <n v="49.567768882536797"/>
    <n v="11.5055220160123"/>
    <n v="2500"/>
    <n v="600"/>
    <n v="120"/>
    <x v="15"/>
    <n v="120"/>
    <n v="72000"/>
  </r>
  <r>
    <x v="375"/>
    <s v="Chicago"/>
    <x v="2"/>
    <n v="5"/>
    <n v="30000"/>
    <n v="-92.872051206884194"/>
    <n v="5.0136337396864399E-2"/>
    <n v="2928"/>
    <n v="450"/>
    <n v="100"/>
    <x v="5"/>
    <n v="90"/>
    <n v="45000"/>
  </r>
  <r>
    <x v="376"/>
    <s v="Houston"/>
    <x v="4"/>
    <n v="5"/>
    <n v="32000"/>
    <n v="77.058980416125607"/>
    <n v="-77.509064537246999"/>
    <n v="2000"/>
    <n v="150"/>
    <n v="150"/>
    <x v="11"/>
    <n v="30"/>
    <n v="22500"/>
  </r>
  <r>
    <x v="377"/>
    <s v="Los Angeles"/>
    <x v="2"/>
    <n v="8"/>
    <n v="30000"/>
    <n v="-147.09906492056001"/>
    <n v="-73.822166687491105"/>
    <n v="2882"/>
    <n v="354"/>
    <n v="125"/>
    <x v="18"/>
    <n v="44.25"/>
    <n v="44250"/>
  </r>
  <r>
    <x v="378"/>
    <s v="Los Angeles"/>
    <x v="3"/>
    <n v="8"/>
    <n v="30000"/>
    <n v="-108.26267887195201"/>
    <n v="18.1641610186355"/>
    <n v="2500"/>
    <n v="374"/>
    <n v="150"/>
    <x v="10"/>
    <n v="46.75"/>
    <n v="56100"/>
  </r>
  <r>
    <x v="379"/>
    <s v="Miami"/>
    <x v="2"/>
    <n v="7"/>
    <n v="32000"/>
    <n v="135.88921679561301"/>
    <n v="-28.6274571415995"/>
    <n v="2718"/>
    <n v="150"/>
    <n v="100"/>
    <x v="7"/>
    <n v="21.428571428571427"/>
    <n v="15000"/>
  </r>
  <r>
    <x v="380"/>
    <s v="Los Angeles"/>
    <x v="3"/>
    <n v="8"/>
    <n v="30000"/>
    <n v="85.940334261563905"/>
    <n v="75.108251983982498"/>
    <n v="2760"/>
    <n v="374"/>
    <n v="131"/>
    <x v="10"/>
    <n v="46.75"/>
    <n v="48994"/>
  </r>
  <r>
    <x v="381"/>
    <s v="Miami"/>
    <x v="3"/>
    <n v="8"/>
    <n v="30000"/>
    <n v="-175.051600555916"/>
    <n v="-16.813703275295001"/>
    <n v="2615"/>
    <n v="374"/>
    <n v="121"/>
    <x v="14"/>
    <n v="46.75"/>
    <n v="45254"/>
  </r>
  <r>
    <x v="382"/>
    <s v="New York"/>
    <x v="2"/>
    <n v="9"/>
    <n v="30000"/>
    <n v="-90.584546266871897"/>
    <n v="-64.209337433524595"/>
    <n v="2847"/>
    <n v="354"/>
    <n v="122"/>
    <x v="13"/>
    <n v="39.333333333333336"/>
    <n v="43188"/>
  </r>
  <r>
    <x v="383"/>
    <s v="Houston"/>
    <x v="4"/>
    <n v="12"/>
    <n v="30000"/>
    <n v="-102.813666122461"/>
    <n v="38.649390030366497"/>
    <n v="2000"/>
    <n v="300"/>
    <n v="100"/>
    <x v="11"/>
    <n v="25"/>
    <n v="30000"/>
  </r>
  <r>
    <x v="384"/>
    <s v="Miami"/>
    <x v="1"/>
    <n v="9"/>
    <n v="30000"/>
    <n v="-82.509721906689904"/>
    <n v="-37.1963841406182"/>
    <n v="2500"/>
    <n v="356"/>
    <n v="200"/>
    <x v="3"/>
    <n v="39.555555555555557"/>
    <n v="71200"/>
  </r>
  <r>
    <x v="385"/>
    <s v="New York"/>
    <x v="1"/>
    <n v="7"/>
    <n v="35000"/>
    <n v="-90.878482699240905"/>
    <n v="4.5846553240607797"/>
    <n v="2500"/>
    <n v="356"/>
    <n v="150"/>
    <x v="15"/>
    <n v="50.857142857142854"/>
    <n v="53400"/>
  </r>
  <r>
    <x v="386"/>
    <s v="Los Angeles"/>
    <x v="3"/>
    <n v="8"/>
    <n v="35000"/>
    <n v="-157.49053353257599"/>
    <n v="35.609901390930602"/>
    <n v="2760"/>
    <n v="300"/>
    <n v="200"/>
    <x v="10"/>
    <n v="37.5"/>
    <n v="60000"/>
  </r>
  <r>
    <x v="387"/>
    <s v="Los Angeles"/>
    <x v="3"/>
    <n v="15"/>
    <n v="32000"/>
    <n v="-14.7814140251447"/>
    <n v="72.047540016372693"/>
    <n v="3000"/>
    <n v="300"/>
    <n v="100"/>
    <x v="10"/>
    <n v="20"/>
    <n v="30000"/>
  </r>
  <r>
    <x v="388"/>
    <s v="New York"/>
    <x v="4"/>
    <n v="11"/>
    <n v="30000"/>
    <n v="83.784050923019393"/>
    <n v="52.5944150643017"/>
    <n v="2588"/>
    <n v="402"/>
    <n v="134"/>
    <x v="20"/>
    <n v="36.545454545454547"/>
    <n v="53868"/>
  </r>
  <r>
    <x v="389"/>
    <s v="Los Angeles"/>
    <x v="0"/>
    <n v="12"/>
    <n v="32000"/>
    <n v="38.423420898277101"/>
    <n v="31.744992217090299"/>
    <n v="2000"/>
    <n v="300"/>
    <n v="150"/>
    <x v="23"/>
    <n v="25"/>
    <n v="45000"/>
  </r>
  <r>
    <x v="390"/>
    <s v="New York"/>
    <x v="2"/>
    <n v="7"/>
    <n v="30000"/>
    <n v="62.233800695308702"/>
    <n v="32.333972831125799"/>
    <n v="3500"/>
    <n v="450"/>
    <n v="200"/>
    <x v="13"/>
    <n v="64.285714285714292"/>
    <n v="90000"/>
  </r>
  <r>
    <x v="391"/>
    <s v="Miami"/>
    <x v="3"/>
    <n v="9"/>
    <n v="30000"/>
    <n v="-150.78629572695399"/>
    <n v="80.266435925775596"/>
    <n v="2000"/>
    <n v="150"/>
    <n v="200"/>
    <x v="14"/>
    <n v="16.666666666666668"/>
    <n v="30000"/>
  </r>
  <r>
    <x v="392"/>
    <s v="Miami"/>
    <x v="1"/>
    <n v="7"/>
    <n v="30000"/>
    <n v="162.53665566364299"/>
    <n v="-36.751662450623499"/>
    <n v="2500"/>
    <n v="300"/>
    <n v="50"/>
    <x v="3"/>
    <n v="42.857142857142854"/>
    <n v="15000"/>
  </r>
  <r>
    <x v="393"/>
    <s v="New York"/>
    <x v="4"/>
    <n v="5"/>
    <n v="30000"/>
    <n v="121.857060183489"/>
    <n v="-89.799823044686306"/>
    <n v="2500"/>
    <n v="402"/>
    <n v="134"/>
    <x v="20"/>
    <n v="80.400000000000006"/>
    <n v="53868"/>
  </r>
  <r>
    <x v="394"/>
    <s v="Miami"/>
    <x v="2"/>
    <n v="8"/>
    <n v="30000"/>
    <n v="109.832514658439"/>
    <n v="-41.048179308324201"/>
    <n v="2718"/>
    <n v="354"/>
    <n v="115"/>
    <x v="7"/>
    <n v="44.25"/>
    <n v="40710"/>
  </r>
  <r>
    <x v="395"/>
    <s v="Miami"/>
    <x v="4"/>
    <n v="5"/>
    <n v="35000"/>
    <n v="116.274169815036"/>
    <n v="-50.779551667186098"/>
    <n v="3500"/>
    <n v="402"/>
    <n v="50"/>
    <x v="21"/>
    <n v="80.400000000000006"/>
    <n v="20100"/>
  </r>
  <r>
    <x v="396"/>
    <s v="Miami"/>
    <x v="2"/>
    <n v="5"/>
    <n v="35000"/>
    <n v="155.77578292779401"/>
    <n v="29.130225320519699"/>
    <n v="2718"/>
    <n v="450"/>
    <n v="100"/>
    <x v="7"/>
    <n v="90"/>
    <n v="45000"/>
  </r>
  <r>
    <x v="397"/>
    <s v="Chicago"/>
    <x v="2"/>
    <n v="9"/>
    <n v="32000"/>
    <n v="15.9314278009312"/>
    <n v="24.0680879577952"/>
    <n v="3500"/>
    <n v="300"/>
    <n v="50"/>
    <x v="5"/>
    <n v="33.333333333333336"/>
    <n v="15000"/>
  </r>
  <r>
    <x v="398"/>
    <s v="Houston"/>
    <x v="3"/>
    <n v="8"/>
    <n v="30000"/>
    <n v="-107.898473567655"/>
    <n v="16.823048886850302"/>
    <n v="2846"/>
    <n v="374"/>
    <n v="138"/>
    <x v="8"/>
    <n v="46.75"/>
    <n v="51612"/>
  </r>
  <r>
    <x v="399"/>
    <s v="Los Angeles"/>
    <x v="4"/>
    <n v="12"/>
    <n v="30000"/>
    <n v="42.042098826914803"/>
    <n v="-87.076180222298305"/>
    <n v="2794"/>
    <n v="402"/>
    <n v="50"/>
    <x v="22"/>
    <n v="33.5"/>
    <n v="20100"/>
  </r>
  <r>
    <x v="400"/>
    <s v="Chicago"/>
    <x v="4"/>
    <n v="7"/>
    <n v="30000"/>
    <n v="87.437337720458103"/>
    <n v="41.180049801116603"/>
    <n v="3500"/>
    <n v="450"/>
    <n v="100"/>
    <x v="9"/>
    <n v="64.285714285714292"/>
    <n v="45000"/>
  </r>
  <r>
    <x v="401"/>
    <s v="Miami"/>
    <x v="1"/>
    <n v="5"/>
    <n v="30000"/>
    <n v="85.650261607449096"/>
    <n v="-31.764525752611501"/>
    <n v="3500"/>
    <n v="600"/>
    <n v="200"/>
    <x v="3"/>
    <n v="120"/>
    <n v="120000"/>
  </r>
  <r>
    <x v="402"/>
    <s v="New York"/>
    <x v="1"/>
    <n v="7"/>
    <n v="30000"/>
    <n v="7.7216487000768304"/>
    <n v="29.710078021193599"/>
    <n v="2800"/>
    <n v="300"/>
    <n v="100"/>
    <x v="15"/>
    <n v="42.857142857142854"/>
    <n v="30000"/>
  </r>
  <r>
    <x v="403"/>
    <s v="Miami"/>
    <x v="3"/>
    <n v="8"/>
    <n v="32000"/>
    <n v="-155.35486103991201"/>
    <n v="10.1841171303876"/>
    <n v="2500"/>
    <n v="150"/>
    <n v="150"/>
    <x v="14"/>
    <n v="18.75"/>
    <n v="22500"/>
  </r>
  <r>
    <x v="404"/>
    <s v="Houston"/>
    <x v="3"/>
    <n v="8"/>
    <n v="30000"/>
    <n v="-46.399342165154003"/>
    <n v="-28.308433422976702"/>
    <n v="2846"/>
    <n v="374"/>
    <n v="138"/>
    <x v="8"/>
    <n v="46.75"/>
    <n v="51612"/>
  </r>
  <r>
    <x v="405"/>
    <s v="Miami"/>
    <x v="0"/>
    <n v="9"/>
    <n v="30000"/>
    <n v="151.47597904680899"/>
    <n v="-65.776271921260602"/>
    <n v="2729"/>
    <n v="397"/>
    <n v="126"/>
    <x v="1"/>
    <n v="44.111111111111114"/>
    <n v="50022"/>
  </r>
  <r>
    <x v="406"/>
    <s v="New York"/>
    <x v="1"/>
    <n v="12"/>
    <n v="30000"/>
    <n v="30.401607512673401"/>
    <n v="-73.0045984211134"/>
    <n v="2500"/>
    <n v="150"/>
    <n v="150"/>
    <x v="15"/>
    <n v="12.5"/>
    <n v="22500"/>
  </r>
  <r>
    <x v="407"/>
    <s v="Houston"/>
    <x v="2"/>
    <n v="15"/>
    <n v="30000"/>
    <n v="13.7994995720569"/>
    <n v="59.673299960200197"/>
    <n v="2647"/>
    <n v="600"/>
    <n v="113"/>
    <x v="19"/>
    <n v="40"/>
    <n v="67800"/>
  </r>
  <r>
    <x v="408"/>
    <s v="Miami"/>
    <x v="4"/>
    <n v="9"/>
    <n v="30000"/>
    <n v="-83.212734822410297"/>
    <n v="75.311557574680506"/>
    <n v="2700"/>
    <n v="402"/>
    <n v="128"/>
    <x v="21"/>
    <n v="44.666666666666664"/>
    <n v="51456"/>
  </r>
  <r>
    <x v="409"/>
    <s v="Houston"/>
    <x v="3"/>
    <n v="9"/>
    <n v="30000"/>
    <n v="-47.3583888300316"/>
    <n v="26.961848417573901"/>
    <n v="3500"/>
    <n v="450"/>
    <n v="200"/>
    <x v="8"/>
    <n v="50"/>
    <n v="90000"/>
  </r>
  <r>
    <x v="410"/>
    <s v="Los Angeles"/>
    <x v="4"/>
    <n v="11"/>
    <n v="32000"/>
    <n v="142.32459209514101"/>
    <n v="-71.381859325112998"/>
    <n v="2500"/>
    <n v="300"/>
    <n v="100"/>
    <x v="22"/>
    <n v="27.272727272727273"/>
    <n v="30000"/>
  </r>
  <r>
    <x v="411"/>
    <s v="Los Angeles"/>
    <x v="4"/>
    <n v="11"/>
    <n v="30000"/>
    <n v="59.9266971096609"/>
    <n v="-17.635100960116699"/>
    <n v="2794"/>
    <n v="402"/>
    <n v="113"/>
    <x v="22"/>
    <n v="36.545454545454547"/>
    <n v="45426"/>
  </r>
  <r>
    <x v="412"/>
    <s v="Miami"/>
    <x v="0"/>
    <n v="15"/>
    <n v="32000"/>
    <n v="103.45932963084"/>
    <n v="41.209056018928301"/>
    <n v="2000"/>
    <n v="300"/>
    <n v="100"/>
    <x v="1"/>
    <n v="20"/>
    <n v="30000"/>
  </r>
  <r>
    <x v="413"/>
    <s v="Houston"/>
    <x v="1"/>
    <n v="9"/>
    <n v="30000"/>
    <n v="-16.435647695644199"/>
    <n v="50.367759121812298"/>
    <n v="2000"/>
    <n v="356"/>
    <n v="100"/>
    <x v="12"/>
    <n v="39.555555555555557"/>
    <n v="35600"/>
  </r>
  <r>
    <x v="414"/>
    <s v="New York"/>
    <x v="3"/>
    <n v="7"/>
    <n v="35000"/>
    <n v="46.888999004216899"/>
    <n v="-68.720647987604096"/>
    <n v="2500"/>
    <n v="600"/>
    <n v="100"/>
    <x v="16"/>
    <n v="85.714285714285708"/>
    <n v="60000"/>
  </r>
  <r>
    <x v="415"/>
    <s v="Miami"/>
    <x v="4"/>
    <n v="9"/>
    <n v="35000"/>
    <n v="-90.581900852445301"/>
    <n v="-89.994470607831204"/>
    <n v="2700"/>
    <n v="600"/>
    <n v="100"/>
    <x v="21"/>
    <n v="66.666666666666671"/>
    <n v="60000"/>
  </r>
  <r>
    <x v="416"/>
    <s v="Los Angeles"/>
    <x v="3"/>
    <n v="5"/>
    <n v="35000"/>
    <n v="73.965898902055002"/>
    <n v="38.1846682585089"/>
    <n v="3500"/>
    <n v="600"/>
    <n v="200"/>
    <x v="10"/>
    <n v="120"/>
    <n v="120000"/>
  </r>
  <r>
    <x v="417"/>
    <s v="Los Angeles"/>
    <x v="2"/>
    <n v="12"/>
    <n v="35000"/>
    <n v="-26.0635198667986"/>
    <n v="-25.812688322483002"/>
    <n v="3500"/>
    <n v="354"/>
    <n v="50"/>
    <x v="18"/>
    <n v="29.5"/>
    <n v="17700"/>
  </r>
  <r>
    <x v="418"/>
    <s v="Miami"/>
    <x v="0"/>
    <n v="5"/>
    <n v="32000"/>
    <n v="-20.6836146666916"/>
    <n v="-44.193360308713203"/>
    <n v="2500"/>
    <n v="450"/>
    <n v="100"/>
    <x v="1"/>
    <n v="90"/>
    <n v="45000"/>
  </r>
  <r>
    <x v="419"/>
    <s v="Houston"/>
    <x v="2"/>
    <n v="7"/>
    <n v="32000"/>
    <n v="53.7560368476774"/>
    <n v="-87.678455437885404"/>
    <n v="2500"/>
    <n v="300"/>
    <n v="200"/>
    <x v="19"/>
    <n v="42.857142857142854"/>
    <n v="60000"/>
  </r>
  <r>
    <x v="420"/>
    <s v="Los Angeles"/>
    <x v="3"/>
    <n v="8"/>
    <n v="30000"/>
    <n v="157.06102372881401"/>
    <n v="7.2538932170699404"/>
    <n v="2760"/>
    <n v="374"/>
    <n v="131"/>
    <x v="10"/>
    <n v="46.75"/>
    <n v="48994"/>
  </r>
  <r>
    <x v="421"/>
    <s v="Houston"/>
    <x v="3"/>
    <n v="15"/>
    <n v="30000"/>
    <n v="-156.95771522089601"/>
    <n v="63.207132376676697"/>
    <n v="3000"/>
    <n v="374"/>
    <n v="150"/>
    <x v="8"/>
    <n v="24.933333333333334"/>
    <n v="56100"/>
  </r>
  <r>
    <x v="422"/>
    <s v="Los Angeles"/>
    <x v="1"/>
    <n v="8"/>
    <n v="30000"/>
    <n v="116.90756544492299"/>
    <n v="82.373696329065794"/>
    <n v="3000"/>
    <n v="356"/>
    <n v="145"/>
    <x v="4"/>
    <n v="44.5"/>
    <n v="51620"/>
  </r>
  <r>
    <x v="423"/>
    <s v="Los Angeles"/>
    <x v="4"/>
    <n v="11"/>
    <n v="30000"/>
    <n v="-74.742080251610503"/>
    <n v="11.8340911103921"/>
    <n v="2794"/>
    <n v="402"/>
    <n v="113"/>
    <x v="22"/>
    <n v="36.545454545454547"/>
    <n v="45426"/>
  </r>
  <r>
    <x v="424"/>
    <s v="Chicago"/>
    <x v="4"/>
    <n v="10"/>
    <n v="30000"/>
    <n v="-20.188996377704001"/>
    <n v="2.6030389931809399"/>
    <n v="2636"/>
    <n v="402"/>
    <n v="114"/>
    <x v="9"/>
    <n v="40.200000000000003"/>
    <n v="45828"/>
  </r>
  <r>
    <x v="425"/>
    <s v="Los Angeles"/>
    <x v="2"/>
    <n v="8"/>
    <n v="30000"/>
    <n v="-172.111201640997"/>
    <n v="-74.689850611936606"/>
    <n v="2882"/>
    <n v="354"/>
    <n v="125"/>
    <x v="18"/>
    <n v="44.25"/>
    <n v="44250"/>
  </r>
  <r>
    <x v="426"/>
    <s v="New York"/>
    <x v="0"/>
    <n v="9"/>
    <n v="32000"/>
    <n v="-71.623411979647301"/>
    <n v="8.7971042776679607"/>
    <n v="2954"/>
    <n v="450"/>
    <n v="50"/>
    <x v="24"/>
    <n v="50"/>
    <n v="22500"/>
  </r>
  <r>
    <x v="427"/>
    <s v="Miami"/>
    <x v="4"/>
    <n v="12"/>
    <n v="35000"/>
    <n v="0.94724734684697898"/>
    <n v="-21.603765786229001"/>
    <n v="2000"/>
    <n v="600"/>
    <n v="100"/>
    <x v="21"/>
    <n v="50"/>
    <n v="60000"/>
  </r>
  <r>
    <x v="428"/>
    <s v="Miami"/>
    <x v="1"/>
    <n v="10"/>
    <n v="30000"/>
    <n v="-159.77661215492199"/>
    <n v="19.284350559043801"/>
    <n v="2931"/>
    <n v="356"/>
    <n v="105"/>
    <x v="3"/>
    <n v="35.6"/>
    <n v="37380"/>
  </r>
  <r>
    <x v="429"/>
    <s v="Houston"/>
    <x v="2"/>
    <n v="9"/>
    <n v="30000"/>
    <n v="-3.2055374220605599"/>
    <n v="-20.029257382221601"/>
    <n v="2647"/>
    <n v="354"/>
    <n v="113"/>
    <x v="19"/>
    <n v="39.333333333333336"/>
    <n v="40002"/>
  </r>
  <r>
    <x v="430"/>
    <s v="Los Angeles"/>
    <x v="2"/>
    <n v="8"/>
    <n v="30000"/>
    <n v="153.759826389034"/>
    <n v="-46.746157778933998"/>
    <n v="2882"/>
    <n v="354"/>
    <n v="125"/>
    <x v="18"/>
    <n v="44.25"/>
    <n v="44250"/>
  </r>
  <r>
    <x v="431"/>
    <s v="New York"/>
    <x v="1"/>
    <n v="9"/>
    <n v="35000"/>
    <n v="-142.05844148118999"/>
    <n v="-72.906250458892202"/>
    <n v="3500"/>
    <n v="450"/>
    <n v="120"/>
    <x v="15"/>
    <n v="50"/>
    <n v="54000"/>
  </r>
  <r>
    <x v="432"/>
    <s v="Houston"/>
    <x v="0"/>
    <n v="10"/>
    <n v="30000"/>
    <n v="95.198662107181605"/>
    <n v="-33.3146799739988"/>
    <n v="2550"/>
    <n v="397"/>
    <n v="120"/>
    <x v="0"/>
    <n v="39.700000000000003"/>
    <n v="47640"/>
  </r>
  <r>
    <x v="433"/>
    <s v="Chicago"/>
    <x v="1"/>
    <n v="9"/>
    <n v="30000"/>
    <n v="-32.518420784642601"/>
    <n v="-72.603929828204599"/>
    <n v="3500"/>
    <n v="450"/>
    <n v="137"/>
    <x v="17"/>
    <n v="50"/>
    <n v="61650"/>
  </r>
  <r>
    <x v="434"/>
    <s v="Houston"/>
    <x v="0"/>
    <n v="12"/>
    <n v="35000"/>
    <n v="55.862537228761703"/>
    <n v="-58.158548851682902"/>
    <n v="3500"/>
    <n v="300"/>
    <n v="120"/>
    <x v="0"/>
    <n v="25"/>
    <n v="36000"/>
  </r>
  <r>
    <x v="435"/>
    <s v="Houston"/>
    <x v="1"/>
    <n v="15"/>
    <n v="30000"/>
    <n v="-86.314824725317393"/>
    <n v="87.720508544318307"/>
    <n v="2500"/>
    <n v="450"/>
    <n v="200"/>
    <x v="12"/>
    <n v="30"/>
    <n v="90000"/>
  </r>
  <r>
    <x v="436"/>
    <s v="Los Angeles"/>
    <x v="1"/>
    <n v="8"/>
    <n v="30000"/>
    <n v="-122.582785485111"/>
    <n v="-10.061359756808599"/>
    <n v="3000"/>
    <n v="356"/>
    <n v="145"/>
    <x v="4"/>
    <n v="44.5"/>
    <n v="51620"/>
  </r>
  <r>
    <x v="437"/>
    <s v="Chicago"/>
    <x v="3"/>
    <n v="7"/>
    <n v="35000"/>
    <n v="-122.233458862359"/>
    <n v="5.7369179709029803"/>
    <n v="2500"/>
    <n v="300"/>
    <n v="200"/>
    <x v="6"/>
    <n v="42.857142857142854"/>
    <n v="60000"/>
  </r>
  <r>
    <x v="438"/>
    <s v="Houston"/>
    <x v="2"/>
    <n v="7"/>
    <n v="30000"/>
    <n v="-154.622899568468"/>
    <n v="67.251335172698802"/>
    <n v="2000"/>
    <n v="300"/>
    <n v="100"/>
    <x v="19"/>
    <n v="42.857142857142854"/>
    <n v="30000"/>
  </r>
  <r>
    <x v="439"/>
    <s v="New York"/>
    <x v="1"/>
    <n v="9"/>
    <n v="30000"/>
    <n v="-113.167186235553"/>
    <n v="89.202402088323794"/>
    <n v="2800"/>
    <n v="356"/>
    <n v="120"/>
    <x v="15"/>
    <n v="39.555555555555557"/>
    <n v="42720"/>
  </r>
  <r>
    <x v="440"/>
    <s v="New York"/>
    <x v="1"/>
    <n v="9"/>
    <n v="30000"/>
    <n v="59.118978596028597"/>
    <n v="14.8886008820427"/>
    <n v="2800"/>
    <n v="356"/>
    <n v="120"/>
    <x v="15"/>
    <n v="39.555555555555557"/>
    <n v="42720"/>
  </r>
  <r>
    <x v="441"/>
    <s v="Miami"/>
    <x v="4"/>
    <n v="12"/>
    <n v="30000"/>
    <n v="137.40862026366301"/>
    <n v="56.2452877879509"/>
    <n v="2500"/>
    <n v="150"/>
    <n v="200"/>
    <x v="21"/>
    <n v="12.5"/>
    <n v="30000"/>
  </r>
  <r>
    <x v="442"/>
    <s v="Chicago"/>
    <x v="2"/>
    <n v="10"/>
    <n v="30000"/>
    <n v="113.085246812818"/>
    <n v="-31.150615619398501"/>
    <n v="2928"/>
    <n v="354"/>
    <n v="121"/>
    <x v="5"/>
    <n v="35.4"/>
    <n v="42834"/>
  </r>
  <r>
    <x v="443"/>
    <s v="Chicago"/>
    <x v="4"/>
    <n v="7"/>
    <n v="32000"/>
    <n v="66.648351554814298"/>
    <n v="-34.966087659487599"/>
    <n v="2000"/>
    <n v="450"/>
    <n v="150"/>
    <x v="9"/>
    <n v="64.285714285714292"/>
    <n v="67500"/>
  </r>
  <r>
    <x v="444"/>
    <s v="Miami"/>
    <x v="2"/>
    <n v="9"/>
    <n v="35000"/>
    <n v="-140.24452917200301"/>
    <n v="-17.513330220979199"/>
    <n v="3000"/>
    <n v="354"/>
    <n v="200"/>
    <x v="7"/>
    <n v="39.333333333333336"/>
    <n v="70800"/>
  </r>
  <r>
    <x v="445"/>
    <s v="Houston"/>
    <x v="4"/>
    <n v="8"/>
    <n v="30000"/>
    <n v="-75.892519333458097"/>
    <n v="31.051307281256801"/>
    <n v="2500"/>
    <n v="402"/>
    <n v="111"/>
    <x v="11"/>
    <n v="50.25"/>
    <n v="44622"/>
  </r>
  <r>
    <x v="446"/>
    <s v="Chicago"/>
    <x v="1"/>
    <n v="15"/>
    <n v="35000"/>
    <n v="-68.469524883911205"/>
    <n v="32.794504065917799"/>
    <n v="2000"/>
    <n v="150"/>
    <n v="137"/>
    <x v="17"/>
    <n v="10"/>
    <n v="20550"/>
  </r>
  <r>
    <x v="447"/>
    <s v="New York"/>
    <x v="1"/>
    <n v="9"/>
    <n v="30000"/>
    <n v="-90.015499296856404"/>
    <n v="-33.256901763098902"/>
    <n v="3500"/>
    <n v="300"/>
    <n v="100"/>
    <x v="15"/>
    <n v="33.333333333333336"/>
    <n v="30000"/>
  </r>
  <r>
    <x v="448"/>
    <s v="New York"/>
    <x v="3"/>
    <n v="9"/>
    <n v="30000"/>
    <n v="5.4020374955003101"/>
    <n v="-66.022213655406802"/>
    <n v="2760"/>
    <n v="374"/>
    <n v="107"/>
    <x v="16"/>
    <n v="41.555555555555557"/>
    <n v="40018"/>
  </r>
  <r>
    <x v="449"/>
    <s v="Los Angeles"/>
    <x v="4"/>
    <n v="11"/>
    <n v="30000"/>
    <n v="12.7993733566821"/>
    <n v="23.831326163791498"/>
    <n v="2794"/>
    <n v="402"/>
    <n v="113"/>
    <x v="22"/>
    <n v="36.545454545454547"/>
    <n v="45426"/>
  </r>
  <r>
    <x v="450"/>
    <s v="Chicago"/>
    <x v="0"/>
    <n v="8"/>
    <n v="30000"/>
    <n v="-51.521048938400298"/>
    <n v="-66.901344806022394"/>
    <n v="2583"/>
    <n v="397"/>
    <n v="133"/>
    <x v="2"/>
    <n v="49.625"/>
    <n v="52801"/>
  </r>
  <r>
    <x v="451"/>
    <s v="Houston"/>
    <x v="3"/>
    <n v="8"/>
    <n v="30000"/>
    <n v="-52.635902854883"/>
    <n v="14.1286514812794"/>
    <n v="2846"/>
    <n v="374"/>
    <n v="138"/>
    <x v="8"/>
    <n v="46.75"/>
    <n v="51612"/>
  </r>
  <r>
    <x v="452"/>
    <s v="Miami"/>
    <x v="4"/>
    <n v="9"/>
    <n v="30000"/>
    <n v="118.280015246189"/>
    <n v="34.8159830501356"/>
    <n v="2500"/>
    <n v="402"/>
    <n v="150"/>
    <x v="21"/>
    <n v="44.666666666666664"/>
    <n v="60300"/>
  </r>
  <r>
    <x v="453"/>
    <s v="Miami"/>
    <x v="4"/>
    <n v="9"/>
    <n v="30000"/>
    <n v="104.145425395087"/>
    <n v="36.1100693510013"/>
    <n v="2700"/>
    <n v="402"/>
    <n v="128"/>
    <x v="21"/>
    <n v="44.666666666666664"/>
    <n v="51456"/>
  </r>
  <r>
    <x v="454"/>
    <s v="Houston"/>
    <x v="3"/>
    <n v="9"/>
    <n v="30000"/>
    <n v="-69.193500594931606"/>
    <n v="45.624979918727398"/>
    <n v="2846"/>
    <n v="150"/>
    <n v="150"/>
    <x v="8"/>
    <n v="16.666666666666668"/>
    <n v="22500"/>
  </r>
  <r>
    <x v="455"/>
    <s v="Los Angeles"/>
    <x v="1"/>
    <n v="15"/>
    <n v="30000"/>
    <n v="148.963839794373"/>
    <n v="67.1146958818196"/>
    <n v="2500"/>
    <n v="300"/>
    <n v="145"/>
    <x v="4"/>
    <n v="20"/>
    <n v="43500"/>
  </r>
  <r>
    <x v="456"/>
    <s v="Miami"/>
    <x v="4"/>
    <n v="9"/>
    <n v="32000"/>
    <n v="163.013406120902"/>
    <n v="-7.38144633808702E-3"/>
    <n v="3500"/>
    <n v="402"/>
    <n v="128"/>
    <x v="21"/>
    <n v="44.666666666666664"/>
    <n v="51456"/>
  </r>
  <r>
    <x v="457"/>
    <s v="Chicago"/>
    <x v="1"/>
    <n v="12"/>
    <n v="35000"/>
    <n v="-62.372684869185299"/>
    <n v="41.444854115322798"/>
    <n v="3000"/>
    <n v="356"/>
    <n v="50"/>
    <x v="17"/>
    <n v="29.666666666666668"/>
    <n v="17800"/>
  </r>
  <r>
    <x v="458"/>
    <s v="Los Angeles"/>
    <x v="3"/>
    <n v="5"/>
    <n v="30000"/>
    <n v="-52.407018434500202"/>
    <n v="21.451092365850599"/>
    <n v="3000"/>
    <n v="600"/>
    <n v="100"/>
    <x v="10"/>
    <n v="120"/>
    <n v="60000"/>
  </r>
  <r>
    <x v="459"/>
    <s v="Chicago"/>
    <x v="1"/>
    <n v="15"/>
    <n v="35000"/>
    <n v="2.0282952319051901"/>
    <n v="-56.404810836417099"/>
    <n v="2500"/>
    <n v="150"/>
    <n v="100"/>
    <x v="17"/>
    <n v="10"/>
    <n v="15000"/>
  </r>
  <r>
    <x v="460"/>
    <s v="New York"/>
    <x v="2"/>
    <n v="7"/>
    <n v="30000"/>
    <n v="158.80349251212201"/>
    <n v="-85.3758639235065"/>
    <n v="2847"/>
    <n v="450"/>
    <n v="200"/>
    <x v="13"/>
    <n v="64.285714285714292"/>
    <n v="90000"/>
  </r>
  <r>
    <x v="461"/>
    <s v="Los Angeles"/>
    <x v="0"/>
    <n v="7"/>
    <n v="30000"/>
    <n v="135.474995931232"/>
    <n v="-38.782550578151898"/>
    <n v="2500"/>
    <n v="150"/>
    <n v="119"/>
    <x v="23"/>
    <n v="21.428571428571427"/>
    <n v="17850"/>
  </r>
  <r>
    <x v="462"/>
    <s v="Miami"/>
    <x v="4"/>
    <n v="9"/>
    <n v="30000"/>
    <n v="-143.07553346990801"/>
    <n v="-10.253932859228501"/>
    <n v="2700"/>
    <n v="402"/>
    <n v="128"/>
    <x v="21"/>
    <n v="44.666666666666664"/>
    <n v="51456"/>
  </r>
  <r>
    <x v="463"/>
    <s v="Los Angeles"/>
    <x v="0"/>
    <n v="12"/>
    <n v="30000"/>
    <n v="-38.616932422290198"/>
    <n v="21.079069997158101"/>
    <n v="3500"/>
    <n v="300"/>
    <n v="150"/>
    <x v="23"/>
    <n v="25"/>
    <n v="45000"/>
  </r>
  <r>
    <x v="464"/>
    <s v="Los Angeles"/>
    <x v="1"/>
    <n v="8"/>
    <n v="30000"/>
    <n v="19.213628309917901"/>
    <n v="62.992679490576997"/>
    <n v="3000"/>
    <n v="356"/>
    <n v="145"/>
    <x v="4"/>
    <n v="44.5"/>
    <n v="51620"/>
  </r>
  <r>
    <x v="465"/>
    <s v="Los Angeles"/>
    <x v="4"/>
    <n v="11"/>
    <n v="30000"/>
    <n v="1.1276901185544299"/>
    <n v="-54.6757709928902"/>
    <n v="2794"/>
    <n v="402"/>
    <n v="113"/>
    <x v="22"/>
    <n v="36.545454545454547"/>
    <n v="45426"/>
  </r>
  <r>
    <x v="466"/>
    <s v="Los Angeles"/>
    <x v="1"/>
    <n v="5"/>
    <n v="30000"/>
    <n v="-110.209295542719"/>
    <n v="-67.401037818274105"/>
    <n v="3500"/>
    <n v="300"/>
    <n v="150"/>
    <x v="4"/>
    <n v="60"/>
    <n v="45000"/>
  </r>
  <r>
    <x v="467"/>
    <s v="Chicago"/>
    <x v="2"/>
    <n v="12"/>
    <n v="32000"/>
    <n v="129.17403762053601"/>
    <n v="83.426390545378993"/>
    <n v="2000"/>
    <n v="354"/>
    <n v="100"/>
    <x v="5"/>
    <n v="29.5"/>
    <n v="35400"/>
  </r>
  <r>
    <x v="468"/>
    <s v="New York"/>
    <x v="3"/>
    <n v="9"/>
    <n v="30000"/>
    <n v="63.6986818788614"/>
    <n v="-70.551979312246701"/>
    <n v="2760"/>
    <n v="374"/>
    <n v="107"/>
    <x v="16"/>
    <n v="41.555555555555557"/>
    <n v="40018"/>
  </r>
  <r>
    <x v="469"/>
    <s v="Houston"/>
    <x v="4"/>
    <n v="7"/>
    <n v="35000"/>
    <n v="121.64701494664899"/>
    <n v="-3.8716073807059499"/>
    <n v="2500"/>
    <n v="300"/>
    <n v="100"/>
    <x v="11"/>
    <n v="42.857142857142854"/>
    <n v="30000"/>
  </r>
  <r>
    <x v="470"/>
    <s v="Los Angeles"/>
    <x v="2"/>
    <n v="7"/>
    <n v="30000"/>
    <n v="129.15514056581"/>
    <n v="15.4014711827943"/>
    <n v="2500"/>
    <n v="150"/>
    <n v="100"/>
    <x v="18"/>
    <n v="21.428571428571427"/>
    <n v="15000"/>
  </r>
  <r>
    <x v="471"/>
    <s v="Miami"/>
    <x v="2"/>
    <n v="9"/>
    <n v="35000"/>
    <n v="89.4081073196663"/>
    <n v="7.4473957633388901"/>
    <n v="2500"/>
    <n v="150"/>
    <n v="100"/>
    <x v="7"/>
    <n v="16.666666666666668"/>
    <n v="15000"/>
  </r>
  <r>
    <x v="472"/>
    <s v="Los Angeles"/>
    <x v="4"/>
    <n v="5"/>
    <n v="30000"/>
    <n v="-21.884183550101799"/>
    <n v="-74.514211734070201"/>
    <n v="3500"/>
    <n v="300"/>
    <n v="150"/>
    <x v="22"/>
    <n v="60"/>
    <n v="45000"/>
  </r>
  <r>
    <x v="473"/>
    <s v="Miami"/>
    <x v="1"/>
    <n v="7"/>
    <n v="32000"/>
    <n v="39.796831805552799"/>
    <n v="-79.735155479348506"/>
    <n v="2000"/>
    <n v="150"/>
    <n v="50"/>
    <x v="3"/>
    <n v="21.428571428571427"/>
    <n v="7500"/>
  </r>
  <r>
    <x v="474"/>
    <s v="Chicago"/>
    <x v="2"/>
    <n v="15"/>
    <n v="35000"/>
    <n v="-122.268453796893"/>
    <n v="-71.012983057013599"/>
    <n v="2928"/>
    <n v="300"/>
    <n v="121"/>
    <x v="5"/>
    <n v="20"/>
    <n v="36300"/>
  </r>
  <r>
    <x v="475"/>
    <s v="Miami"/>
    <x v="0"/>
    <n v="9"/>
    <n v="32000"/>
    <n v="62.512350290966801"/>
    <n v="15.4057830970703"/>
    <n v="2000"/>
    <n v="300"/>
    <n v="100"/>
    <x v="1"/>
    <n v="33.333333333333336"/>
    <n v="30000"/>
  </r>
  <r>
    <x v="476"/>
    <s v="Houston"/>
    <x v="2"/>
    <n v="9"/>
    <n v="30000"/>
    <n v="-115.468827933859"/>
    <n v="7.98207977417779"/>
    <n v="3500"/>
    <n v="300"/>
    <n v="100"/>
    <x v="19"/>
    <n v="33.333333333333336"/>
    <n v="30000"/>
  </r>
  <r>
    <x v="477"/>
    <s v="New York"/>
    <x v="1"/>
    <n v="9"/>
    <n v="30000"/>
    <n v="69.821852583656494"/>
    <n v="-47.926657433385998"/>
    <n v="2800"/>
    <n v="356"/>
    <n v="120"/>
    <x v="15"/>
    <n v="39.555555555555557"/>
    <n v="42720"/>
  </r>
  <r>
    <x v="478"/>
    <s v="Miami"/>
    <x v="1"/>
    <n v="10"/>
    <n v="30000"/>
    <n v="-97.344662128571301"/>
    <n v="24.799345532206502"/>
    <n v="2931"/>
    <n v="356"/>
    <n v="105"/>
    <x v="3"/>
    <n v="35.6"/>
    <n v="37380"/>
  </r>
  <r>
    <x v="479"/>
    <s v="Miami"/>
    <x v="0"/>
    <n v="9"/>
    <n v="30000"/>
    <n v="-137.68153194592099"/>
    <n v="57.612150370016899"/>
    <n v="2729"/>
    <n v="397"/>
    <n v="126"/>
    <x v="1"/>
    <n v="44.111111111111114"/>
    <n v="50022"/>
  </r>
  <r>
    <x v="480"/>
    <s v="New York"/>
    <x v="2"/>
    <n v="15"/>
    <n v="30000"/>
    <n v="-120.497583548535"/>
    <n v="-82.515787227613103"/>
    <n v="2847"/>
    <n v="300"/>
    <n v="150"/>
    <x v="13"/>
    <n v="20"/>
    <n v="45000"/>
  </r>
  <r>
    <x v="481"/>
    <s v="Houston"/>
    <x v="1"/>
    <n v="9"/>
    <n v="30000"/>
    <n v="-179.28283132113501"/>
    <n v="-0.33661016135236799"/>
    <n v="2500"/>
    <n v="356"/>
    <n v="127"/>
    <x v="12"/>
    <n v="39.555555555555557"/>
    <n v="45212"/>
  </r>
  <r>
    <x v="482"/>
    <s v="Los Angeles"/>
    <x v="4"/>
    <n v="11"/>
    <n v="30000"/>
    <n v="78.746262427270906"/>
    <n v="34.075874178484298"/>
    <n v="2794"/>
    <n v="402"/>
    <n v="113"/>
    <x v="22"/>
    <n v="36.545454545454547"/>
    <n v="45426"/>
  </r>
  <r>
    <x v="483"/>
    <s v="Miami"/>
    <x v="3"/>
    <n v="12"/>
    <n v="35000"/>
    <n v="83.664377661016502"/>
    <n v="-44.583853127456301"/>
    <n v="3000"/>
    <n v="300"/>
    <n v="50"/>
    <x v="14"/>
    <n v="25"/>
    <n v="15000"/>
  </r>
  <r>
    <x v="484"/>
    <s v="New York"/>
    <x v="3"/>
    <n v="9"/>
    <n v="30000"/>
    <n v="5.3760059687734003"/>
    <n v="-34.601237047233198"/>
    <n v="2000"/>
    <n v="300"/>
    <n v="50"/>
    <x v="16"/>
    <n v="33.333333333333336"/>
    <n v="15000"/>
  </r>
  <r>
    <x v="485"/>
    <s v="Chicago"/>
    <x v="3"/>
    <n v="9"/>
    <n v="30000"/>
    <n v="-121.909391620062"/>
    <n v="20.4548225380891"/>
    <n v="2678"/>
    <n v="374"/>
    <n v="116"/>
    <x v="6"/>
    <n v="41.555555555555557"/>
    <n v="43384"/>
  </r>
  <r>
    <x v="486"/>
    <s v="New York"/>
    <x v="2"/>
    <n v="9"/>
    <n v="30000"/>
    <n v="-149.920438496152"/>
    <n v="71.628352819872603"/>
    <n v="2847"/>
    <n v="354"/>
    <n v="122"/>
    <x v="13"/>
    <n v="39.333333333333336"/>
    <n v="43188"/>
  </r>
  <r>
    <x v="487"/>
    <s v="Chicago"/>
    <x v="0"/>
    <n v="7"/>
    <n v="30000"/>
    <n v="-173.11357208257701"/>
    <n v="55.786395654521897"/>
    <n v="2583"/>
    <n v="450"/>
    <n v="133"/>
    <x v="2"/>
    <n v="64.285714285714292"/>
    <n v="59850"/>
  </r>
  <r>
    <x v="488"/>
    <s v="Houston"/>
    <x v="1"/>
    <n v="9"/>
    <n v="30000"/>
    <n v="-120.330656292521"/>
    <n v="14.963439437925"/>
    <n v="2000"/>
    <n v="300"/>
    <n v="150"/>
    <x v="12"/>
    <n v="33.333333333333336"/>
    <n v="45000"/>
  </r>
  <r>
    <x v="489"/>
    <s v="Los Angeles"/>
    <x v="4"/>
    <n v="12"/>
    <n v="30000"/>
    <n v="140.707992593933"/>
    <n v="41.439909196304903"/>
    <n v="2500"/>
    <n v="150"/>
    <n v="200"/>
    <x v="22"/>
    <n v="12.5"/>
    <n v="30000"/>
  </r>
  <r>
    <x v="490"/>
    <s v="New York"/>
    <x v="4"/>
    <n v="11"/>
    <n v="30000"/>
    <n v="-93.046736987394596"/>
    <n v="-24.331955362596201"/>
    <n v="2588"/>
    <n v="402"/>
    <n v="134"/>
    <x v="20"/>
    <n v="36.545454545454547"/>
    <n v="53868"/>
  </r>
  <r>
    <x v="491"/>
    <s v="Miami"/>
    <x v="2"/>
    <n v="8"/>
    <n v="32000"/>
    <n v="-52.462322201802401"/>
    <n v="25.373795057776402"/>
    <n v="2718"/>
    <n v="354"/>
    <n v="115"/>
    <x v="7"/>
    <n v="44.25"/>
    <n v="40710"/>
  </r>
  <r>
    <x v="492"/>
    <s v="Houston"/>
    <x v="3"/>
    <n v="8"/>
    <n v="30000"/>
    <n v="-142.07562558672001"/>
    <n v="-6.0873135970397403"/>
    <n v="2500"/>
    <n v="150"/>
    <n v="200"/>
    <x v="8"/>
    <n v="18.75"/>
    <n v="30000"/>
  </r>
  <r>
    <x v="493"/>
    <s v="New York"/>
    <x v="2"/>
    <n v="9"/>
    <n v="30000"/>
    <n v="-99.949930290658699"/>
    <n v="-55.811495437639003"/>
    <n v="2847"/>
    <n v="354"/>
    <n v="122"/>
    <x v="13"/>
    <n v="39.333333333333336"/>
    <n v="43188"/>
  </r>
  <r>
    <x v="494"/>
    <s v="Miami"/>
    <x v="0"/>
    <n v="9"/>
    <n v="30000"/>
    <n v="6.92084548087385"/>
    <n v="36.312889297906302"/>
    <n v="2729"/>
    <n v="397"/>
    <n v="126"/>
    <x v="1"/>
    <n v="44.111111111111114"/>
    <n v="50022"/>
  </r>
  <r>
    <x v="495"/>
    <s v="New York"/>
    <x v="0"/>
    <n v="9"/>
    <n v="30000"/>
    <n v="38.790965914434899"/>
    <n v="10.163634722788"/>
    <n v="2954"/>
    <n v="397"/>
    <n v="128"/>
    <x v="24"/>
    <n v="44.111111111111114"/>
    <n v="50816"/>
  </r>
  <r>
    <x v="496"/>
    <s v="Chicago"/>
    <x v="1"/>
    <n v="5"/>
    <n v="35000"/>
    <n v="-91.673166900164006"/>
    <n v="-25.448115248353499"/>
    <n v="3000"/>
    <n v="150"/>
    <n v="200"/>
    <x v="17"/>
    <n v="30"/>
    <n v="30000"/>
  </r>
  <r>
    <x v="497"/>
    <s v="New York"/>
    <x v="1"/>
    <n v="12"/>
    <n v="32000"/>
    <n v="-159.216422678958"/>
    <n v="74.041054214153505"/>
    <n v="2500"/>
    <n v="600"/>
    <n v="100"/>
    <x v="15"/>
    <n v="50"/>
    <n v="60000"/>
  </r>
  <r>
    <x v="498"/>
    <s v="New York"/>
    <x v="0"/>
    <n v="9"/>
    <n v="30000"/>
    <n v="-39.228167114136497"/>
    <n v="-86.231858791188003"/>
    <n v="3000"/>
    <n v="300"/>
    <n v="150"/>
    <x v="24"/>
    <n v="33.333333333333336"/>
    <n v="45000"/>
  </r>
  <r>
    <x v="499"/>
    <s v="New York"/>
    <x v="0"/>
    <n v="9"/>
    <n v="30000"/>
    <n v="-95.686786466519706"/>
    <n v="-33.160832775090697"/>
    <n v="2954"/>
    <n v="397"/>
    <n v="128"/>
    <x v="24"/>
    <n v="44.111111111111114"/>
    <n v="50816"/>
  </r>
  <r>
    <x v="500"/>
    <s v="Houston"/>
    <x v="0"/>
    <n v="10"/>
    <n v="30000"/>
    <n v="-100.960587637271"/>
    <n v="-79.761348400023607"/>
    <n v="2550"/>
    <n v="397"/>
    <n v="120"/>
    <x v="0"/>
    <n v="39.700000000000003"/>
    <n v="47640"/>
  </r>
  <r>
    <x v="501"/>
    <s v="New York"/>
    <x v="2"/>
    <n v="9"/>
    <n v="30000"/>
    <n v="165.55060897684399"/>
    <n v="47.974916919892898"/>
    <n v="2847"/>
    <n v="354"/>
    <n v="122"/>
    <x v="13"/>
    <n v="39.333333333333336"/>
    <n v="43188"/>
  </r>
  <r>
    <x v="502"/>
    <s v="Miami"/>
    <x v="0"/>
    <n v="15"/>
    <n v="30000"/>
    <n v="41.868174933260697"/>
    <n v="36.379341740482701"/>
    <n v="2500"/>
    <n v="450"/>
    <n v="50"/>
    <x v="1"/>
    <n v="30"/>
    <n v="22500"/>
  </r>
  <r>
    <x v="503"/>
    <s v="Chicago"/>
    <x v="4"/>
    <n v="7"/>
    <n v="32000"/>
    <n v="20.476239541954499"/>
    <n v="-30.3566006274629"/>
    <n v="3000"/>
    <n v="300"/>
    <n v="150"/>
    <x v="9"/>
    <n v="42.857142857142854"/>
    <n v="45000"/>
  </r>
  <r>
    <x v="504"/>
    <s v="Chicago"/>
    <x v="3"/>
    <n v="12"/>
    <n v="35000"/>
    <n v="-30.320962731604101"/>
    <n v="31.619322397273201"/>
    <n v="3500"/>
    <n v="300"/>
    <n v="116"/>
    <x v="6"/>
    <n v="25"/>
    <n v="34800"/>
  </r>
  <r>
    <x v="505"/>
    <s v="New York"/>
    <x v="0"/>
    <n v="15"/>
    <n v="35000"/>
    <n v="-25.580039965148099"/>
    <n v="-18.731299284729001"/>
    <n v="3500"/>
    <n v="450"/>
    <n v="150"/>
    <x v="24"/>
    <n v="30"/>
    <n v="67500"/>
  </r>
  <r>
    <x v="506"/>
    <s v="Houston"/>
    <x v="3"/>
    <n v="8"/>
    <n v="30000"/>
    <n v="14.7258013817091"/>
    <n v="46.125682456038199"/>
    <n v="2846"/>
    <n v="374"/>
    <n v="138"/>
    <x v="8"/>
    <n v="46.75"/>
    <n v="51612"/>
  </r>
  <r>
    <x v="507"/>
    <s v="Houston"/>
    <x v="2"/>
    <n v="12"/>
    <n v="30000"/>
    <n v="70.714730532998601"/>
    <n v="-8.2469407073929109"/>
    <n v="2647"/>
    <n v="300"/>
    <n v="113"/>
    <x v="19"/>
    <n v="25"/>
    <n v="33900"/>
  </r>
  <r>
    <x v="508"/>
    <s v="Miami"/>
    <x v="3"/>
    <n v="7"/>
    <n v="32000"/>
    <n v="72.772594625458595"/>
    <n v="-15.789648990300201"/>
    <n v="2615"/>
    <n v="450"/>
    <n v="50"/>
    <x v="14"/>
    <n v="64.285714285714292"/>
    <n v="22500"/>
  </r>
  <r>
    <x v="509"/>
    <s v="New York"/>
    <x v="2"/>
    <n v="9"/>
    <n v="35000"/>
    <n v="-118.19019322603801"/>
    <n v="78.251384787894196"/>
    <n v="3500"/>
    <n v="150"/>
    <n v="100"/>
    <x v="13"/>
    <n v="16.666666666666668"/>
    <n v="15000"/>
  </r>
  <r>
    <x v="510"/>
    <s v="Chicago"/>
    <x v="4"/>
    <n v="9"/>
    <n v="30000"/>
    <n v="4.0590747585724798E-2"/>
    <n v="-44.841762019674"/>
    <n v="2500"/>
    <n v="450"/>
    <n v="114"/>
    <x v="9"/>
    <n v="50"/>
    <n v="51300"/>
  </r>
  <r>
    <x v="511"/>
    <s v="Houston"/>
    <x v="2"/>
    <n v="7"/>
    <n v="32000"/>
    <n v="-31.695085787723301"/>
    <n v="-68.319478800618199"/>
    <n v="2647"/>
    <n v="450"/>
    <n v="113"/>
    <x v="19"/>
    <n v="64.285714285714292"/>
    <n v="50850"/>
  </r>
  <r>
    <x v="512"/>
    <s v="New York"/>
    <x v="2"/>
    <n v="15"/>
    <n v="30000"/>
    <n v="133.38970785697799"/>
    <n v="15.2177603867025"/>
    <n v="2500"/>
    <n v="300"/>
    <n v="50"/>
    <x v="13"/>
    <n v="20"/>
    <n v="15000"/>
  </r>
  <r>
    <x v="513"/>
    <s v="Houston"/>
    <x v="1"/>
    <n v="9"/>
    <n v="30000"/>
    <n v="47.310811638615498"/>
    <n v="84.477926211152194"/>
    <n v="2500"/>
    <n v="356"/>
    <n v="127"/>
    <x v="12"/>
    <n v="39.555555555555557"/>
    <n v="45212"/>
  </r>
  <r>
    <x v="514"/>
    <s v="Houston"/>
    <x v="0"/>
    <n v="10"/>
    <n v="30000"/>
    <n v="11.7014639097534"/>
    <n v="-21.988941529106398"/>
    <n v="2550"/>
    <n v="397"/>
    <n v="120"/>
    <x v="0"/>
    <n v="39.700000000000003"/>
    <n v="47640"/>
  </r>
  <r>
    <x v="515"/>
    <s v="Chicago"/>
    <x v="0"/>
    <n v="8"/>
    <n v="35000"/>
    <n v="-138.45792881559001"/>
    <n v="-78.833382546819294"/>
    <n v="3500"/>
    <n v="600"/>
    <n v="200"/>
    <x v="2"/>
    <n v="75"/>
    <n v="120000"/>
  </r>
  <r>
    <x v="516"/>
    <s v="Los Angeles"/>
    <x v="4"/>
    <n v="15"/>
    <n v="35000"/>
    <n v="38.029640156428101"/>
    <n v="-28.925051884277899"/>
    <n v="2000"/>
    <n v="402"/>
    <n v="100"/>
    <x v="22"/>
    <n v="26.8"/>
    <n v="40200"/>
  </r>
  <r>
    <x v="517"/>
    <s v="Miami"/>
    <x v="4"/>
    <n v="7"/>
    <n v="30000"/>
    <n v="-137.806593955116"/>
    <n v="1.0676977775205201"/>
    <n v="2700"/>
    <n v="450"/>
    <n v="150"/>
    <x v="21"/>
    <n v="64.285714285714292"/>
    <n v="67500"/>
  </r>
  <r>
    <x v="518"/>
    <s v="Miami"/>
    <x v="0"/>
    <n v="9"/>
    <n v="30000"/>
    <n v="-58.605632796329303"/>
    <n v="-60.853858806201501"/>
    <n v="2729"/>
    <n v="450"/>
    <n v="50"/>
    <x v="1"/>
    <n v="50"/>
    <n v="22500"/>
  </r>
  <r>
    <x v="519"/>
    <s v="Chicago"/>
    <x v="1"/>
    <n v="9"/>
    <n v="30000"/>
    <n v="-128.57689266684099"/>
    <n v="28.458399250168601"/>
    <n v="2678"/>
    <n v="356"/>
    <n v="137"/>
    <x v="17"/>
    <n v="39.555555555555557"/>
    <n v="48772"/>
  </r>
  <r>
    <x v="520"/>
    <s v="Houston"/>
    <x v="0"/>
    <n v="12"/>
    <n v="32000"/>
    <n v="69.146512928772793"/>
    <n v="89.594890021836093"/>
    <n v="3000"/>
    <n v="600"/>
    <n v="200"/>
    <x v="0"/>
    <n v="50"/>
    <n v="120000"/>
  </r>
  <r>
    <x v="521"/>
    <s v="New York"/>
    <x v="1"/>
    <n v="9"/>
    <n v="30000"/>
    <n v="-105.74923901898499"/>
    <n v="-8.6868943233401108"/>
    <n v="2800"/>
    <n v="356"/>
    <n v="120"/>
    <x v="15"/>
    <n v="39.555555555555557"/>
    <n v="42720"/>
  </r>
  <r>
    <x v="522"/>
    <s v="Houston"/>
    <x v="4"/>
    <n v="8"/>
    <n v="30000"/>
    <n v="-38.930625652310702"/>
    <n v="-26.148859788561701"/>
    <n v="2500"/>
    <n v="402"/>
    <n v="111"/>
    <x v="11"/>
    <n v="50.25"/>
    <n v="44622"/>
  </r>
  <r>
    <x v="523"/>
    <s v="Chicago"/>
    <x v="3"/>
    <n v="9"/>
    <n v="30000"/>
    <n v="142.44291994276"/>
    <n v="-17.873249969795999"/>
    <n v="2678"/>
    <n v="374"/>
    <n v="116"/>
    <x v="6"/>
    <n v="41.555555555555557"/>
    <n v="43384"/>
  </r>
  <r>
    <x v="524"/>
    <s v="Miami"/>
    <x v="4"/>
    <n v="12"/>
    <n v="32000"/>
    <n v="-106.446101976371"/>
    <n v="-69.273687888863805"/>
    <n v="2000"/>
    <n v="600"/>
    <n v="50"/>
    <x v="21"/>
    <n v="50"/>
    <n v="30000"/>
  </r>
  <r>
    <x v="525"/>
    <s v="Houston"/>
    <x v="4"/>
    <n v="5"/>
    <n v="35000"/>
    <n v="2.8098230251604801"/>
    <n v="68.989248256720302"/>
    <n v="2500"/>
    <n v="402"/>
    <n v="111"/>
    <x v="11"/>
    <n v="80.400000000000006"/>
    <n v="44622"/>
  </r>
  <r>
    <x v="526"/>
    <s v="Miami"/>
    <x v="2"/>
    <n v="8"/>
    <n v="30000"/>
    <n v="-29.0622019802321"/>
    <n v="-15.3313820061566"/>
    <n v="2718"/>
    <n v="354"/>
    <n v="115"/>
    <x v="7"/>
    <n v="44.25"/>
    <n v="40710"/>
  </r>
  <r>
    <x v="527"/>
    <s v="New York"/>
    <x v="2"/>
    <n v="9"/>
    <n v="30000"/>
    <n v="-173.475345223537"/>
    <n v="-20.2906059435286"/>
    <n v="2847"/>
    <n v="354"/>
    <n v="122"/>
    <x v="13"/>
    <n v="39.333333333333336"/>
    <n v="43188"/>
  </r>
  <r>
    <x v="528"/>
    <s v="Miami"/>
    <x v="2"/>
    <n v="8"/>
    <n v="30000"/>
    <n v="105.39292088621301"/>
    <n v="28.7442491274854"/>
    <n v="2718"/>
    <n v="354"/>
    <n v="115"/>
    <x v="7"/>
    <n v="44.25"/>
    <n v="40710"/>
  </r>
  <r>
    <x v="529"/>
    <s v="Miami"/>
    <x v="2"/>
    <n v="8"/>
    <n v="30000"/>
    <n v="-155.14347372674399"/>
    <n v="-10.433984232397799"/>
    <n v="2718"/>
    <n v="354"/>
    <n v="115"/>
    <x v="7"/>
    <n v="44.25"/>
    <n v="40710"/>
  </r>
  <r>
    <x v="530"/>
    <s v="Los Angeles"/>
    <x v="1"/>
    <n v="8"/>
    <n v="30000"/>
    <n v="-9.2681924482967002"/>
    <n v="26.682024385412301"/>
    <n v="3000"/>
    <n v="356"/>
    <n v="145"/>
    <x v="4"/>
    <n v="44.5"/>
    <n v="51620"/>
  </r>
  <r>
    <x v="531"/>
    <s v="Los Angeles"/>
    <x v="0"/>
    <n v="7"/>
    <n v="35000"/>
    <n v="21.844186178021999"/>
    <n v="-78.939667776458293"/>
    <n v="2586"/>
    <n v="397"/>
    <n v="100"/>
    <x v="23"/>
    <n v="56.714285714285715"/>
    <n v="39700"/>
  </r>
  <r>
    <x v="532"/>
    <s v="Los Angeles"/>
    <x v="3"/>
    <n v="8"/>
    <n v="30000"/>
    <n v="46.233524381251399"/>
    <n v="56.470201870000899"/>
    <n v="2760"/>
    <n v="374"/>
    <n v="131"/>
    <x v="10"/>
    <n v="46.75"/>
    <n v="48994"/>
  </r>
  <r>
    <x v="533"/>
    <s v="Miami"/>
    <x v="4"/>
    <n v="12"/>
    <n v="35000"/>
    <n v="67.907386550835199"/>
    <n v="79.290711518292497"/>
    <n v="3500"/>
    <n v="450"/>
    <n v="50"/>
    <x v="21"/>
    <n v="37.5"/>
    <n v="22500"/>
  </r>
  <r>
    <x v="534"/>
    <s v="Chicago"/>
    <x v="1"/>
    <n v="9"/>
    <n v="30000"/>
    <n v="-88.821941931822593"/>
    <n v="26.777769508689499"/>
    <n v="2678"/>
    <n v="356"/>
    <n v="137"/>
    <x v="17"/>
    <n v="39.555555555555557"/>
    <n v="48772"/>
  </r>
  <r>
    <x v="535"/>
    <s v="Miami"/>
    <x v="3"/>
    <n v="8"/>
    <n v="30000"/>
    <n v="-176.40764040295801"/>
    <n v="81.821867194585906"/>
    <n v="2615"/>
    <n v="374"/>
    <n v="121"/>
    <x v="14"/>
    <n v="46.75"/>
    <n v="45254"/>
  </r>
  <r>
    <x v="536"/>
    <s v="Chicago"/>
    <x v="1"/>
    <n v="9"/>
    <n v="30000"/>
    <n v="80.4397184477683"/>
    <n v="-62.7421834134066"/>
    <n v="2678"/>
    <n v="356"/>
    <n v="137"/>
    <x v="17"/>
    <n v="39.555555555555557"/>
    <n v="48772"/>
  </r>
  <r>
    <x v="537"/>
    <s v="Chicago"/>
    <x v="1"/>
    <n v="7"/>
    <n v="35000"/>
    <n v="12.836375765128301"/>
    <n v="-4.0650858935363399"/>
    <n v="2678"/>
    <n v="356"/>
    <n v="137"/>
    <x v="17"/>
    <n v="50.857142857142854"/>
    <n v="48772"/>
  </r>
  <r>
    <x v="538"/>
    <s v="Los Angeles"/>
    <x v="4"/>
    <n v="9"/>
    <n v="30000"/>
    <n v="121.00237315461"/>
    <n v="18.325212110180502"/>
    <n v="2794"/>
    <n v="450"/>
    <n v="100"/>
    <x v="22"/>
    <n v="50"/>
    <n v="45000"/>
  </r>
  <r>
    <x v="539"/>
    <s v="Houston"/>
    <x v="0"/>
    <n v="12"/>
    <n v="30000"/>
    <n v="115.69981064424999"/>
    <n v="14.712596535813599"/>
    <n v="2550"/>
    <n v="600"/>
    <n v="50"/>
    <x v="0"/>
    <n v="50"/>
    <n v="30000"/>
  </r>
  <r>
    <x v="540"/>
    <s v="New York"/>
    <x v="2"/>
    <n v="12"/>
    <n v="30000"/>
    <n v="123.597420403638"/>
    <n v="-17.736879763972201"/>
    <n v="2847"/>
    <n v="300"/>
    <n v="100"/>
    <x v="13"/>
    <n v="25"/>
    <n v="30000"/>
  </r>
  <r>
    <x v="541"/>
    <s v="Los Angeles"/>
    <x v="0"/>
    <n v="10"/>
    <n v="30000"/>
    <n v="-5.3659224073655301"/>
    <n v="-29.144806314073001"/>
    <n v="2586"/>
    <n v="397"/>
    <n v="119"/>
    <x v="23"/>
    <n v="39.700000000000003"/>
    <n v="47243"/>
  </r>
  <r>
    <x v="542"/>
    <s v="Los Angeles"/>
    <x v="4"/>
    <n v="11"/>
    <n v="30000"/>
    <n v="-59.893777498728397"/>
    <n v="-67.171675940924601"/>
    <n v="2794"/>
    <n v="402"/>
    <n v="113"/>
    <x v="22"/>
    <n v="36.545454545454547"/>
    <n v="45426"/>
  </r>
  <r>
    <x v="543"/>
    <s v="Houston"/>
    <x v="4"/>
    <n v="8"/>
    <n v="30000"/>
    <n v="104.96095293289299"/>
    <n v="-19.486358898789899"/>
    <n v="2500"/>
    <n v="402"/>
    <n v="111"/>
    <x v="11"/>
    <n v="50.25"/>
    <n v="44622"/>
  </r>
  <r>
    <x v="544"/>
    <s v="New York"/>
    <x v="4"/>
    <n v="11"/>
    <n v="30000"/>
    <n v="-17.534119309468199"/>
    <n v="-60.721053281012701"/>
    <n v="2588"/>
    <n v="402"/>
    <n v="134"/>
    <x v="20"/>
    <n v="36.545454545454547"/>
    <n v="53868"/>
  </r>
  <r>
    <x v="545"/>
    <s v="Miami"/>
    <x v="3"/>
    <n v="8"/>
    <n v="30000"/>
    <n v="-113.960809294764"/>
    <n v="42.185821768599297"/>
    <n v="2615"/>
    <n v="450"/>
    <n v="50"/>
    <x v="14"/>
    <n v="56.25"/>
    <n v="22500"/>
  </r>
  <r>
    <x v="546"/>
    <s v="Miami"/>
    <x v="0"/>
    <n v="15"/>
    <n v="30000"/>
    <n v="127.790647042131"/>
    <n v="-52.410431610973802"/>
    <n v="3000"/>
    <n v="300"/>
    <n v="126"/>
    <x v="1"/>
    <n v="20"/>
    <n v="37800"/>
  </r>
  <r>
    <x v="547"/>
    <s v="Los Angeles"/>
    <x v="0"/>
    <n v="10"/>
    <n v="30000"/>
    <n v="137.721555638045"/>
    <n v="-79.458245048783894"/>
    <n v="2586"/>
    <n v="397"/>
    <n v="119"/>
    <x v="23"/>
    <n v="39.700000000000003"/>
    <n v="47243"/>
  </r>
  <r>
    <x v="548"/>
    <s v="New York"/>
    <x v="1"/>
    <n v="9"/>
    <n v="30000"/>
    <n v="-12.1284877895388"/>
    <n v="9.4259048071021692"/>
    <n v="2800"/>
    <n v="356"/>
    <n v="120"/>
    <x v="15"/>
    <n v="39.555555555555557"/>
    <n v="42720"/>
  </r>
  <r>
    <x v="549"/>
    <s v="Los Angeles"/>
    <x v="1"/>
    <n v="8"/>
    <n v="30000"/>
    <n v="-152.74809816847699"/>
    <n v="17.141351889492299"/>
    <n v="3000"/>
    <n v="356"/>
    <n v="145"/>
    <x v="4"/>
    <n v="44.5"/>
    <n v="51620"/>
  </r>
  <r>
    <x v="550"/>
    <s v="Chicago"/>
    <x v="1"/>
    <n v="9"/>
    <n v="32000"/>
    <n v="-40.382607629904697"/>
    <n v="66.944351030491006"/>
    <n v="2500"/>
    <n v="356"/>
    <n v="200"/>
    <x v="17"/>
    <n v="39.555555555555557"/>
    <n v="71200"/>
  </r>
  <r>
    <x v="551"/>
    <s v="Los Angeles"/>
    <x v="4"/>
    <n v="15"/>
    <n v="35000"/>
    <n v="109.27355740653699"/>
    <n v="13.8566902351827"/>
    <n v="2000"/>
    <n v="450"/>
    <n v="50"/>
    <x v="22"/>
    <n v="30"/>
    <n v="22500"/>
  </r>
  <r>
    <x v="552"/>
    <s v="Los Angeles"/>
    <x v="0"/>
    <n v="10"/>
    <n v="30000"/>
    <n v="144.63865027664201"/>
    <n v="-27.813446329779801"/>
    <n v="2586"/>
    <n v="397"/>
    <n v="119"/>
    <x v="23"/>
    <n v="39.700000000000003"/>
    <n v="47243"/>
  </r>
  <r>
    <x v="553"/>
    <s v="Miami"/>
    <x v="4"/>
    <n v="9"/>
    <n v="30000"/>
    <n v="-106.749812700866"/>
    <n v="54.5421386747377"/>
    <n v="3500"/>
    <n v="150"/>
    <n v="50"/>
    <x v="21"/>
    <n v="16.666666666666668"/>
    <n v="7500"/>
  </r>
  <r>
    <x v="554"/>
    <s v="Miami"/>
    <x v="3"/>
    <n v="8"/>
    <n v="30000"/>
    <n v="-155.88949967090201"/>
    <n v="7.2502007737357799"/>
    <n v="2615"/>
    <n v="374"/>
    <n v="121"/>
    <x v="14"/>
    <n v="46.75"/>
    <n v="45254"/>
  </r>
  <r>
    <x v="555"/>
    <s v="Miami"/>
    <x v="1"/>
    <n v="12"/>
    <n v="35000"/>
    <n v="135.846163127822"/>
    <n v="-75.729548766385506"/>
    <n v="2931"/>
    <n v="356"/>
    <n v="50"/>
    <x v="3"/>
    <n v="29.666666666666668"/>
    <n v="17800"/>
  </r>
  <r>
    <x v="556"/>
    <s v="Chicago"/>
    <x v="4"/>
    <n v="10"/>
    <n v="32000"/>
    <n v="-39.814221967604901"/>
    <n v="11.853100856384399"/>
    <n v="2000"/>
    <n v="450"/>
    <n v="200"/>
    <x v="9"/>
    <n v="45"/>
    <n v="90000"/>
  </r>
  <r>
    <x v="557"/>
    <s v="Miami"/>
    <x v="4"/>
    <n v="9"/>
    <n v="30000"/>
    <n v="15.0339471363228"/>
    <n v="73.4433381758992"/>
    <n v="2700"/>
    <n v="402"/>
    <n v="128"/>
    <x v="21"/>
    <n v="44.666666666666664"/>
    <n v="51456"/>
  </r>
  <r>
    <x v="558"/>
    <s v="New York"/>
    <x v="3"/>
    <n v="5"/>
    <n v="35000"/>
    <n v="168.503692338273"/>
    <n v="-18.663727410320298"/>
    <n v="2000"/>
    <n v="300"/>
    <n v="50"/>
    <x v="16"/>
    <n v="60"/>
    <n v="15000"/>
  </r>
  <r>
    <x v="559"/>
    <s v="Houston"/>
    <x v="2"/>
    <n v="9"/>
    <n v="30000"/>
    <n v="-156.03669795088001"/>
    <n v="-36.661355658036001"/>
    <n v="2647"/>
    <n v="354"/>
    <n v="113"/>
    <x v="19"/>
    <n v="39.333333333333336"/>
    <n v="40002"/>
  </r>
  <r>
    <x v="560"/>
    <s v="New York"/>
    <x v="0"/>
    <n v="12"/>
    <n v="30000"/>
    <n v="53.394482682754401"/>
    <n v="-64.175497736756398"/>
    <n v="2954"/>
    <n v="397"/>
    <n v="150"/>
    <x v="24"/>
    <n v="33.083333333333336"/>
    <n v="59550"/>
  </r>
  <r>
    <x v="561"/>
    <s v="New York"/>
    <x v="2"/>
    <n v="5"/>
    <n v="32000"/>
    <n v="-153.32204787304801"/>
    <n v="-62.739806051635703"/>
    <n v="3500"/>
    <n v="150"/>
    <n v="200"/>
    <x v="13"/>
    <n v="30"/>
    <n v="30000"/>
  </r>
  <r>
    <x v="562"/>
    <s v="Miami"/>
    <x v="1"/>
    <n v="9"/>
    <n v="30000"/>
    <n v="-44.831185752059902"/>
    <n v="-12.1011328184726"/>
    <n v="3500"/>
    <n v="150"/>
    <n v="105"/>
    <x v="3"/>
    <n v="16.666666666666668"/>
    <n v="15750"/>
  </r>
  <r>
    <x v="563"/>
    <s v="Houston"/>
    <x v="4"/>
    <n v="12"/>
    <n v="32000"/>
    <n v="109.373236269641"/>
    <n v="17.2223683490753"/>
    <n v="3000"/>
    <n v="402"/>
    <n v="100"/>
    <x v="11"/>
    <n v="33.5"/>
    <n v="40200"/>
  </r>
  <r>
    <x v="564"/>
    <s v="Houston"/>
    <x v="3"/>
    <n v="9"/>
    <n v="30000"/>
    <n v="-23.949996207971601"/>
    <n v="-75.489227069471696"/>
    <n v="2846"/>
    <n v="450"/>
    <n v="50"/>
    <x v="8"/>
    <n v="50"/>
    <n v="22500"/>
  </r>
  <r>
    <x v="565"/>
    <s v="Houston"/>
    <x v="3"/>
    <n v="9"/>
    <n v="32000"/>
    <n v="178.985647405062"/>
    <n v="79.122346024529804"/>
    <n v="2500"/>
    <n v="300"/>
    <n v="138"/>
    <x v="8"/>
    <n v="33.333333333333336"/>
    <n v="41400"/>
  </r>
  <r>
    <x v="566"/>
    <s v="Chicago"/>
    <x v="0"/>
    <n v="5"/>
    <n v="35000"/>
    <n v="21.261342580776802"/>
    <n v="45.924051140135298"/>
    <n v="2500"/>
    <n v="450"/>
    <n v="100"/>
    <x v="2"/>
    <n v="90"/>
    <n v="45000"/>
  </r>
  <r>
    <x v="567"/>
    <s v="Miami"/>
    <x v="2"/>
    <n v="8"/>
    <n v="30000"/>
    <n v="-64.381625051056702"/>
    <n v="15.592305291059301"/>
    <n v="2718"/>
    <n v="354"/>
    <n v="115"/>
    <x v="7"/>
    <n v="44.25"/>
    <n v="40710"/>
  </r>
  <r>
    <x v="568"/>
    <s v="Houston"/>
    <x v="0"/>
    <n v="10"/>
    <n v="32000"/>
    <n v="-100.759922674289"/>
    <n v="59.118960769018301"/>
    <n v="2500"/>
    <n v="600"/>
    <n v="200"/>
    <x v="0"/>
    <n v="60"/>
    <n v="120000"/>
  </r>
  <r>
    <x v="569"/>
    <s v="Chicago"/>
    <x v="4"/>
    <n v="15"/>
    <n v="32000"/>
    <n v="-53.812607656981697"/>
    <n v="-75.566383773819595"/>
    <n v="2636"/>
    <n v="600"/>
    <n v="114"/>
    <x v="9"/>
    <n v="40"/>
    <n v="68400"/>
  </r>
  <r>
    <x v="570"/>
    <s v="Los Angeles"/>
    <x v="0"/>
    <n v="10"/>
    <n v="30000"/>
    <n v="-45.888021446561702"/>
    <n v="-4.1690020080376096"/>
    <n v="2586"/>
    <n v="397"/>
    <n v="119"/>
    <x v="23"/>
    <n v="39.700000000000003"/>
    <n v="47243"/>
  </r>
  <r>
    <x v="571"/>
    <s v="Los Angeles"/>
    <x v="3"/>
    <n v="5"/>
    <n v="30000"/>
    <n v="-155.26307601937401"/>
    <n v="23.416762835099401"/>
    <n v="3000"/>
    <n v="150"/>
    <n v="200"/>
    <x v="10"/>
    <n v="30"/>
    <n v="30000"/>
  </r>
  <r>
    <x v="572"/>
    <s v="Chicago"/>
    <x v="3"/>
    <n v="9"/>
    <n v="32000"/>
    <n v="-46.953288206361698"/>
    <n v="59.157523101292099"/>
    <n v="2500"/>
    <n v="450"/>
    <n v="116"/>
    <x v="6"/>
    <n v="50"/>
    <n v="52200"/>
  </r>
  <r>
    <x v="573"/>
    <s v="Chicago"/>
    <x v="1"/>
    <n v="12"/>
    <n v="30000"/>
    <n v="-12.874132893879001"/>
    <n v="51.024520808868203"/>
    <n v="3500"/>
    <n v="300"/>
    <n v="200"/>
    <x v="17"/>
    <n v="25"/>
    <n v="60000"/>
  </r>
  <r>
    <x v="574"/>
    <s v="Miami"/>
    <x v="1"/>
    <n v="12"/>
    <n v="30000"/>
    <n v="80.185590805969696"/>
    <n v="-40.127535051588097"/>
    <n v="2931"/>
    <n v="600"/>
    <n v="200"/>
    <x v="3"/>
    <n v="50"/>
    <n v="120000"/>
  </r>
  <r>
    <x v="575"/>
    <s v="Miami"/>
    <x v="4"/>
    <n v="9"/>
    <n v="30000"/>
    <n v="56.422614499778902"/>
    <n v="79.358430520656796"/>
    <n v="2700"/>
    <n v="402"/>
    <n v="128"/>
    <x v="21"/>
    <n v="44.666666666666664"/>
    <n v="51456"/>
  </r>
  <r>
    <x v="576"/>
    <s v="Los Angeles"/>
    <x v="2"/>
    <n v="8"/>
    <n v="30000"/>
    <n v="75.155635882495503"/>
    <n v="-67.617748542443294"/>
    <n v="2882"/>
    <n v="354"/>
    <n v="125"/>
    <x v="18"/>
    <n v="44.25"/>
    <n v="44250"/>
  </r>
  <r>
    <x v="577"/>
    <s v="Houston"/>
    <x v="0"/>
    <n v="10"/>
    <n v="30000"/>
    <n v="-176.98907452433099"/>
    <n v="67.524051351807401"/>
    <n v="2550"/>
    <n v="600"/>
    <n v="100"/>
    <x v="0"/>
    <n v="60"/>
    <n v="60000"/>
  </r>
  <r>
    <x v="578"/>
    <s v="Los Angeles"/>
    <x v="4"/>
    <n v="11"/>
    <n v="30000"/>
    <n v="-101.639736151007"/>
    <n v="84.769244928831299"/>
    <n v="2794"/>
    <n v="402"/>
    <n v="113"/>
    <x v="22"/>
    <n v="36.545454545454547"/>
    <n v="45426"/>
  </r>
  <r>
    <x v="579"/>
    <s v="Houston"/>
    <x v="1"/>
    <n v="9"/>
    <n v="35000"/>
    <n v="58.206343823948302"/>
    <n v="-58.112365819927398"/>
    <n v="2500"/>
    <n v="356"/>
    <n v="127"/>
    <x v="12"/>
    <n v="39.555555555555557"/>
    <n v="45212"/>
  </r>
  <r>
    <x v="580"/>
    <s v="Houston"/>
    <x v="0"/>
    <n v="10"/>
    <n v="30000"/>
    <n v="-5.76382745529102"/>
    <n v="39.971891556681399"/>
    <n v="2550"/>
    <n v="397"/>
    <n v="120"/>
    <x v="0"/>
    <n v="39.700000000000003"/>
    <n v="47640"/>
  </r>
  <r>
    <x v="581"/>
    <s v="Miami"/>
    <x v="1"/>
    <n v="10"/>
    <n v="30000"/>
    <n v="-178.08714875939501"/>
    <n v="-82.748606619960299"/>
    <n v="2931"/>
    <n v="356"/>
    <n v="105"/>
    <x v="3"/>
    <n v="35.6"/>
    <n v="37380"/>
  </r>
  <r>
    <x v="582"/>
    <s v="New York"/>
    <x v="0"/>
    <n v="15"/>
    <n v="30000"/>
    <n v="109.618071275456"/>
    <n v="-17.023891474952102"/>
    <n v="2954"/>
    <n v="450"/>
    <n v="100"/>
    <x v="24"/>
    <n v="30"/>
    <n v="45000"/>
  </r>
  <r>
    <x v="583"/>
    <s v="New York"/>
    <x v="2"/>
    <n v="9"/>
    <n v="30000"/>
    <n v="98.211446384521494"/>
    <n v="2.93099385558132"/>
    <n v="2847"/>
    <n v="354"/>
    <n v="122"/>
    <x v="13"/>
    <n v="39.333333333333336"/>
    <n v="43188"/>
  </r>
  <r>
    <x v="584"/>
    <s v="Chicago"/>
    <x v="4"/>
    <n v="10"/>
    <n v="30000"/>
    <n v="17.430898677682499"/>
    <n v="14.516140663734101"/>
    <n v="2636"/>
    <n v="402"/>
    <n v="114"/>
    <x v="9"/>
    <n v="40.200000000000003"/>
    <n v="45828"/>
  </r>
  <r>
    <x v="585"/>
    <s v="Miami"/>
    <x v="0"/>
    <n v="15"/>
    <n v="35000"/>
    <n v="-156.07320272054201"/>
    <n v="78.4687046847407"/>
    <n v="3000"/>
    <n v="450"/>
    <n v="126"/>
    <x v="1"/>
    <n v="30"/>
    <n v="56700"/>
  </r>
  <r>
    <x v="586"/>
    <s v="Houston"/>
    <x v="3"/>
    <n v="7"/>
    <n v="35000"/>
    <n v="95.945417831730495"/>
    <n v="31.005123712955001"/>
    <n v="2500"/>
    <n v="150"/>
    <n v="50"/>
    <x v="8"/>
    <n v="21.428571428571427"/>
    <n v="7500"/>
  </r>
  <r>
    <x v="587"/>
    <s v="New York"/>
    <x v="3"/>
    <n v="9"/>
    <n v="30000"/>
    <n v="30.136891583291"/>
    <n v="-3.36996878053733"/>
    <n v="2760"/>
    <n v="374"/>
    <n v="107"/>
    <x v="16"/>
    <n v="41.555555555555557"/>
    <n v="40018"/>
  </r>
  <r>
    <x v="588"/>
    <s v="Houston"/>
    <x v="0"/>
    <n v="10"/>
    <n v="30000"/>
    <n v="101.505591776865"/>
    <n v="55.741506527860103"/>
    <n v="2550"/>
    <n v="397"/>
    <n v="120"/>
    <x v="0"/>
    <n v="39.700000000000003"/>
    <n v="47640"/>
  </r>
  <r>
    <x v="589"/>
    <s v="New York"/>
    <x v="0"/>
    <n v="9"/>
    <n v="30000"/>
    <n v="90.628917262502597"/>
    <n v="81.095907771793605"/>
    <n v="2954"/>
    <n v="397"/>
    <n v="128"/>
    <x v="24"/>
    <n v="44.111111111111114"/>
    <n v="50816"/>
  </r>
  <r>
    <x v="590"/>
    <s v="New York"/>
    <x v="0"/>
    <n v="9"/>
    <n v="30000"/>
    <n v="109.080745904821"/>
    <n v="-86.028093237187605"/>
    <n v="2954"/>
    <n v="397"/>
    <n v="128"/>
    <x v="24"/>
    <n v="44.111111111111114"/>
    <n v="50816"/>
  </r>
  <r>
    <x v="591"/>
    <s v="New York"/>
    <x v="3"/>
    <n v="5"/>
    <n v="30000"/>
    <n v="6.48290390566493"/>
    <n v="86.853829006086997"/>
    <n v="2000"/>
    <n v="600"/>
    <n v="100"/>
    <x v="16"/>
    <n v="120"/>
    <n v="60000"/>
  </r>
  <r>
    <x v="592"/>
    <s v="Miami"/>
    <x v="3"/>
    <n v="8"/>
    <n v="35000"/>
    <n v="-129.48317345033499"/>
    <n v="-74.496214968537501"/>
    <n v="3500"/>
    <n v="600"/>
    <n v="50"/>
    <x v="14"/>
    <n v="75"/>
    <n v="30000"/>
  </r>
  <r>
    <x v="593"/>
    <s v="Los Angeles"/>
    <x v="0"/>
    <n v="10"/>
    <n v="32000"/>
    <n v="61.616690416687902"/>
    <n v="56.589620268376997"/>
    <n v="2500"/>
    <n v="450"/>
    <n v="100"/>
    <x v="23"/>
    <n v="45"/>
    <n v="45000"/>
  </r>
  <r>
    <x v="594"/>
    <s v="Houston"/>
    <x v="1"/>
    <n v="9"/>
    <n v="30000"/>
    <n v="43.3705626187094"/>
    <n v="-39.539744540745801"/>
    <n v="2500"/>
    <n v="356"/>
    <n v="127"/>
    <x v="12"/>
    <n v="39.555555555555557"/>
    <n v="45212"/>
  </r>
  <r>
    <x v="595"/>
    <s v="Miami"/>
    <x v="1"/>
    <n v="10"/>
    <n v="30000"/>
    <n v="87.211147391671403"/>
    <n v="-66.207661604303098"/>
    <n v="2931"/>
    <n v="356"/>
    <n v="105"/>
    <x v="3"/>
    <n v="35.6"/>
    <n v="37380"/>
  </r>
  <r>
    <x v="596"/>
    <s v="Miami"/>
    <x v="2"/>
    <n v="8"/>
    <n v="30000"/>
    <n v="-118.842837821735"/>
    <n v="-10.8259848515097"/>
    <n v="2718"/>
    <n v="354"/>
    <n v="115"/>
    <x v="7"/>
    <n v="44.25"/>
    <n v="40710"/>
  </r>
  <r>
    <x v="597"/>
    <s v="Miami"/>
    <x v="4"/>
    <n v="5"/>
    <n v="30000"/>
    <n v="-109.808928035896"/>
    <n v="25.912184300570399"/>
    <n v="2000"/>
    <n v="450"/>
    <n v="128"/>
    <x v="21"/>
    <n v="90"/>
    <n v="57600"/>
  </r>
  <r>
    <x v="598"/>
    <s v="Miami"/>
    <x v="1"/>
    <n v="9"/>
    <n v="30000"/>
    <n v="140.54742619895799"/>
    <n v="-21.428667895774499"/>
    <n v="2931"/>
    <n v="450"/>
    <n v="100"/>
    <x v="3"/>
    <n v="50"/>
    <n v="45000"/>
  </r>
  <r>
    <x v="599"/>
    <s v="Miami"/>
    <x v="3"/>
    <n v="8"/>
    <n v="30000"/>
    <n v="89.992007442745503"/>
    <n v="-80.178226509114197"/>
    <n v="2615"/>
    <n v="374"/>
    <n v="121"/>
    <x v="14"/>
    <n v="46.75"/>
    <n v="45254"/>
  </r>
  <r>
    <x v="600"/>
    <s v="Chicago"/>
    <x v="1"/>
    <n v="9"/>
    <n v="30000"/>
    <n v="146.96225593211599"/>
    <n v="17.903005138569"/>
    <n v="2500"/>
    <n v="356"/>
    <n v="50"/>
    <x v="17"/>
    <n v="39.555555555555557"/>
    <n v="17800"/>
  </r>
  <r>
    <x v="601"/>
    <s v="Houston"/>
    <x v="2"/>
    <n v="9"/>
    <n v="30000"/>
    <n v="93.137515619011495"/>
    <n v="72.432589699921394"/>
    <n v="2647"/>
    <n v="354"/>
    <n v="113"/>
    <x v="19"/>
    <n v="39.333333333333336"/>
    <n v="40002"/>
  </r>
  <r>
    <x v="602"/>
    <s v="Miami"/>
    <x v="2"/>
    <n v="9"/>
    <n v="30000"/>
    <n v="34.975910156508697"/>
    <n v="-21.021234129494701"/>
    <n v="3000"/>
    <n v="300"/>
    <n v="50"/>
    <x v="7"/>
    <n v="33.333333333333336"/>
    <n v="15000"/>
  </r>
  <r>
    <x v="603"/>
    <s v="Houston"/>
    <x v="4"/>
    <n v="8"/>
    <n v="30000"/>
    <n v="55.487785330034498"/>
    <n v="-51.060100026451103"/>
    <n v="2500"/>
    <n v="402"/>
    <n v="111"/>
    <x v="11"/>
    <n v="50.25"/>
    <n v="44622"/>
  </r>
  <r>
    <x v="604"/>
    <s v="Chicago"/>
    <x v="1"/>
    <n v="9"/>
    <n v="30000"/>
    <n v="140.08605261840401"/>
    <n v="-10.3360777320932"/>
    <n v="2678"/>
    <n v="356"/>
    <n v="137"/>
    <x v="17"/>
    <n v="39.555555555555557"/>
    <n v="48772"/>
  </r>
  <r>
    <x v="605"/>
    <s v="Chicago"/>
    <x v="3"/>
    <n v="9"/>
    <n v="30000"/>
    <n v="28.3704316242986"/>
    <n v="-81.294712011219403"/>
    <n v="2000"/>
    <n v="374"/>
    <n v="200"/>
    <x v="6"/>
    <n v="41.555555555555557"/>
    <n v="74800"/>
  </r>
  <r>
    <x v="606"/>
    <s v="Houston"/>
    <x v="3"/>
    <n v="7"/>
    <n v="30000"/>
    <n v="47.660876758219501"/>
    <n v="57.687765206449498"/>
    <n v="3500"/>
    <n v="374"/>
    <n v="138"/>
    <x v="8"/>
    <n v="53.428571428571431"/>
    <n v="51612"/>
  </r>
  <r>
    <x v="607"/>
    <s v="New York"/>
    <x v="0"/>
    <n v="9"/>
    <n v="30000"/>
    <n v="-123.668382238704"/>
    <n v="58.741345971033603"/>
    <n v="2954"/>
    <n v="397"/>
    <n v="150"/>
    <x v="24"/>
    <n v="44.111111111111114"/>
    <n v="59550"/>
  </r>
  <r>
    <x v="608"/>
    <s v="Los Angeles"/>
    <x v="3"/>
    <n v="15"/>
    <n v="30000"/>
    <n v="-9.3883607582030209"/>
    <n v="15.8400834173331"/>
    <n v="2000"/>
    <n v="600"/>
    <n v="50"/>
    <x v="10"/>
    <n v="40"/>
    <n v="30000"/>
  </r>
  <r>
    <x v="609"/>
    <s v="New York"/>
    <x v="4"/>
    <n v="15"/>
    <n v="30000"/>
    <n v="77.902960304915595"/>
    <n v="-26.441479991089899"/>
    <n v="2588"/>
    <n v="402"/>
    <n v="50"/>
    <x v="20"/>
    <n v="26.8"/>
    <n v="20100"/>
  </r>
  <r>
    <x v="610"/>
    <s v="New York"/>
    <x v="4"/>
    <n v="15"/>
    <n v="35000"/>
    <n v="-82.4606286061085"/>
    <n v="53.961005600241002"/>
    <n v="2500"/>
    <n v="600"/>
    <n v="100"/>
    <x v="20"/>
    <n v="40"/>
    <n v="60000"/>
  </r>
  <r>
    <x v="611"/>
    <s v="New York"/>
    <x v="3"/>
    <n v="12"/>
    <n v="30000"/>
    <n v="-107.18849501116701"/>
    <n v="9.8436644619060907"/>
    <n v="3500"/>
    <n v="300"/>
    <n v="107"/>
    <x v="16"/>
    <n v="25"/>
    <n v="32100"/>
  </r>
  <r>
    <x v="612"/>
    <s v="Miami"/>
    <x v="3"/>
    <n v="5"/>
    <n v="30000"/>
    <n v="-67.022349039210397"/>
    <n v="58.667815539002902"/>
    <n v="2500"/>
    <n v="150"/>
    <n v="150"/>
    <x v="14"/>
    <n v="30"/>
    <n v="22500"/>
  </r>
  <r>
    <x v="613"/>
    <s v="Chicago"/>
    <x v="0"/>
    <n v="8"/>
    <n v="30000"/>
    <n v="-93.059773922580007"/>
    <n v="23.662582664943699"/>
    <n v="2583"/>
    <n v="397"/>
    <n v="133"/>
    <x v="2"/>
    <n v="49.625"/>
    <n v="52801"/>
  </r>
  <r>
    <x v="614"/>
    <s v="New York"/>
    <x v="3"/>
    <n v="7"/>
    <n v="32000"/>
    <n v="-102.631450666898"/>
    <n v="51.192985178303502"/>
    <n v="3500"/>
    <n v="150"/>
    <n v="100"/>
    <x v="16"/>
    <n v="21.428571428571427"/>
    <n v="15000"/>
  </r>
  <r>
    <x v="615"/>
    <s v="Chicago"/>
    <x v="0"/>
    <n v="15"/>
    <n v="35000"/>
    <n v="-27.0536965674887"/>
    <n v="17.741338779196798"/>
    <n v="2583"/>
    <n v="300"/>
    <n v="150"/>
    <x v="2"/>
    <n v="20"/>
    <n v="45000"/>
  </r>
  <r>
    <x v="616"/>
    <s v="Houston"/>
    <x v="0"/>
    <n v="12"/>
    <n v="30000"/>
    <n v="146.82186499807199"/>
    <n v="-15.4546077211801"/>
    <n v="2500"/>
    <n v="150"/>
    <n v="120"/>
    <x v="0"/>
    <n v="12.5"/>
    <n v="18000"/>
  </r>
  <r>
    <x v="617"/>
    <s v="Los Angeles"/>
    <x v="3"/>
    <n v="8"/>
    <n v="30000"/>
    <n v="2.5414728259385702"/>
    <n v="82.430254786704793"/>
    <n v="2760"/>
    <n v="374"/>
    <n v="131"/>
    <x v="10"/>
    <n v="46.75"/>
    <n v="48994"/>
  </r>
  <r>
    <x v="618"/>
    <s v="Houston"/>
    <x v="2"/>
    <n v="7"/>
    <n v="30000"/>
    <n v="-112.34866290648399"/>
    <n v="7.4004884781920603"/>
    <n v="2000"/>
    <n v="450"/>
    <n v="50"/>
    <x v="19"/>
    <n v="64.285714285714292"/>
    <n v="22500"/>
  </r>
  <r>
    <x v="619"/>
    <s v="Houston"/>
    <x v="2"/>
    <n v="12"/>
    <n v="32000"/>
    <n v="-152.29019902288499"/>
    <n v="18.916113337296899"/>
    <n v="2500"/>
    <n v="150"/>
    <n v="50"/>
    <x v="19"/>
    <n v="12.5"/>
    <n v="7500"/>
  </r>
  <r>
    <x v="620"/>
    <s v="Miami"/>
    <x v="0"/>
    <n v="9"/>
    <n v="32000"/>
    <n v="70.616212249653103"/>
    <n v="-50.312224905345097"/>
    <n v="2000"/>
    <n v="150"/>
    <n v="100"/>
    <x v="1"/>
    <n v="16.666666666666668"/>
    <n v="15000"/>
  </r>
  <r>
    <x v="621"/>
    <s v="Los Angeles"/>
    <x v="3"/>
    <n v="8"/>
    <n v="30000"/>
    <n v="-42.192444802900397"/>
    <n v="22.617142096909799"/>
    <n v="2760"/>
    <n v="374"/>
    <n v="131"/>
    <x v="10"/>
    <n v="46.75"/>
    <n v="48994"/>
  </r>
  <r>
    <x v="622"/>
    <s v="Houston"/>
    <x v="2"/>
    <n v="9"/>
    <n v="30000"/>
    <n v="115.859140770729"/>
    <n v="12.8893769069299"/>
    <n v="3000"/>
    <n v="354"/>
    <n v="113"/>
    <x v="19"/>
    <n v="39.333333333333336"/>
    <n v="40002"/>
  </r>
  <r>
    <x v="623"/>
    <s v="Houston"/>
    <x v="3"/>
    <n v="5"/>
    <n v="30000"/>
    <n v="57.423876710677298"/>
    <n v="-56.729088369535503"/>
    <n v="3000"/>
    <n v="374"/>
    <n v="150"/>
    <x v="8"/>
    <n v="74.8"/>
    <n v="56100"/>
  </r>
  <r>
    <x v="624"/>
    <s v="Los Angeles"/>
    <x v="3"/>
    <n v="5"/>
    <n v="32000"/>
    <n v="106.64692219489299"/>
    <n v="-79.274322476434094"/>
    <n v="2500"/>
    <n v="450"/>
    <n v="100"/>
    <x v="10"/>
    <n v="90"/>
    <n v="45000"/>
  </r>
  <r>
    <x v="625"/>
    <s v="Los Angeles"/>
    <x v="3"/>
    <n v="12"/>
    <n v="35000"/>
    <n v="-82.099425809358493"/>
    <n v="18.784677548658799"/>
    <n v="2500"/>
    <n v="600"/>
    <n v="131"/>
    <x v="10"/>
    <n v="50"/>
    <n v="78600"/>
  </r>
  <r>
    <x v="626"/>
    <s v="Houston"/>
    <x v="1"/>
    <n v="9"/>
    <n v="30000"/>
    <n v="69.249212085980901"/>
    <n v="47.464608483057702"/>
    <n v="2500"/>
    <n v="356"/>
    <n v="127"/>
    <x v="12"/>
    <n v="39.555555555555557"/>
    <n v="45212"/>
  </r>
  <r>
    <x v="627"/>
    <s v="Los Angeles"/>
    <x v="3"/>
    <n v="5"/>
    <n v="35000"/>
    <n v="-84.937685510261204"/>
    <n v="4.2122467659614804"/>
    <n v="3500"/>
    <n v="150"/>
    <n v="150"/>
    <x v="10"/>
    <n v="30"/>
    <n v="22500"/>
  </r>
  <r>
    <x v="628"/>
    <s v="Houston"/>
    <x v="1"/>
    <n v="9"/>
    <n v="30000"/>
    <n v="158.06465260210501"/>
    <n v="-49.180927442463798"/>
    <n v="2500"/>
    <n v="356"/>
    <n v="127"/>
    <x v="12"/>
    <n v="39.555555555555557"/>
    <n v="45212"/>
  </r>
  <r>
    <x v="629"/>
    <s v="Houston"/>
    <x v="0"/>
    <n v="10"/>
    <n v="30000"/>
    <n v="49.0947413520148"/>
    <n v="29.9739558047463"/>
    <n v="2550"/>
    <n v="397"/>
    <n v="120"/>
    <x v="0"/>
    <n v="39.700000000000003"/>
    <n v="47640"/>
  </r>
  <r>
    <x v="630"/>
    <s v="Miami"/>
    <x v="2"/>
    <n v="12"/>
    <n v="35000"/>
    <n v="-63.1757519368769"/>
    <n v="-75.580969210271604"/>
    <n v="2000"/>
    <n v="600"/>
    <n v="100"/>
    <x v="7"/>
    <n v="50"/>
    <n v="60000"/>
  </r>
  <r>
    <x v="631"/>
    <s v="New York"/>
    <x v="2"/>
    <n v="9"/>
    <n v="30000"/>
    <n v="-82.975729574781894"/>
    <n v="-10.469933135648199"/>
    <n v="2847"/>
    <n v="354"/>
    <n v="122"/>
    <x v="13"/>
    <n v="39.333333333333336"/>
    <n v="43188"/>
  </r>
  <r>
    <x v="632"/>
    <s v="Houston"/>
    <x v="2"/>
    <n v="12"/>
    <n v="30000"/>
    <n v="-111.266429374208"/>
    <n v="-60.593983488284401"/>
    <n v="2500"/>
    <n v="300"/>
    <n v="50"/>
    <x v="19"/>
    <n v="25"/>
    <n v="15000"/>
  </r>
  <r>
    <x v="633"/>
    <s v="Chicago"/>
    <x v="2"/>
    <n v="5"/>
    <n v="30000"/>
    <n v="70.070745201742"/>
    <n v="-56.797370809221"/>
    <n v="2000"/>
    <n v="354"/>
    <n v="200"/>
    <x v="5"/>
    <n v="70.8"/>
    <n v="70800"/>
  </r>
  <r>
    <x v="634"/>
    <s v="New York"/>
    <x v="2"/>
    <n v="12"/>
    <n v="30000"/>
    <n v="-101.26237932074601"/>
    <n v="-53.587089151523301"/>
    <n v="3000"/>
    <n v="150"/>
    <n v="200"/>
    <x v="13"/>
    <n v="12.5"/>
    <n v="30000"/>
  </r>
  <r>
    <x v="635"/>
    <s v="New York"/>
    <x v="2"/>
    <n v="9"/>
    <n v="30000"/>
    <n v="34.309175733896097"/>
    <n v="-20.392729732084"/>
    <n v="2847"/>
    <n v="354"/>
    <n v="122"/>
    <x v="13"/>
    <n v="39.333333333333336"/>
    <n v="43188"/>
  </r>
  <r>
    <x v="636"/>
    <s v="New York"/>
    <x v="2"/>
    <n v="9"/>
    <n v="30000"/>
    <n v="-84.731390306871404"/>
    <n v="-80.792962988328398"/>
    <n v="2847"/>
    <n v="354"/>
    <n v="122"/>
    <x v="13"/>
    <n v="39.333333333333336"/>
    <n v="43188"/>
  </r>
  <r>
    <x v="637"/>
    <s v="Miami"/>
    <x v="0"/>
    <n v="15"/>
    <n v="30000"/>
    <n v="58.3088201257927"/>
    <n v="-18.3971806327623"/>
    <n v="2000"/>
    <n v="397"/>
    <n v="150"/>
    <x v="1"/>
    <n v="26.466666666666665"/>
    <n v="59550"/>
  </r>
  <r>
    <x v="638"/>
    <s v="Houston"/>
    <x v="3"/>
    <n v="8"/>
    <n v="30000"/>
    <n v="113.37830227459401"/>
    <n v="2.10734048064616"/>
    <n v="3500"/>
    <n v="600"/>
    <n v="50"/>
    <x v="8"/>
    <n v="75"/>
    <n v="30000"/>
  </r>
  <r>
    <x v="639"/>
    <s v="Miami"/>
    <x v="4"/>
    <n v="12"/>
    <n v="35000"/>
    <n v="100.089087532075"/>
    <n v="-3.00702870606146"/>
    <n v="2500"/>
    <n v="402"/>
    <n v="200"/>
    <x v="21"/>
    <n v="33.5"/>
    <n v="80400"/>
  </r>
  <r>
    <x v="640"/>
    <s v="Houston"/>
    <x v="1"/>
    <n v="7"/>
    <n v="35000"/>
    <n v="93.906479135081398"/>
    <n v="-21.098861927452699"/>
    <n v="2000"/>
    <n v="150"/>
    <n v="100"/>
    <x v="12"/>
    <n v="21.428571428571427"/>
    <n v="15000"/>
  </r>
  <r>
    <x v="641"/>
    <s v="Miami"/>
    <x v="4"/>
    <n v="9"/>
    <n v="32000"/>
    <n v="-112.419933950789"/>
    <n v="61.046389452735397"/>
    <n v="2700"/>
    <n v="300"/>
    <n v="100"/>
    <x v="21"/>
    <n v="33.333333333333336"/>
    <n v="30000"/>
  </r>
  <r>
    <x v="642"/>
    <s v="Miami"/>
    <x v="4"/>
    <n v="9"/>
    <n v="30000"/>
    <n v="-148.181419085573"/>
    <n v="-63.8411953643093"/>
    <n v="3000"/>
    <n v="600"/>
    <n v="150"/>
    <x v="21"/>
    <n v="66.666666666666671"/>
    <n v="90000"/>
  </r>
  <r>
    <x v="643"/>
    <s v="Chicago"/>
    <x v="3"/>
    <n v="9"/>
    <n v="30000"/>
    <n v="71.6215782554588"/>
    <n v="1.0254138806473201"/>
    <n v="2678"/>
    <n v="374"/>
    <n v="116"/>
    <x v="6"/>
    <n v="41.555555555555557"/>
    <n v="43384"/>
  </r>
  <r>
    <x v="644"/>
    <s v="Miami"/>
    <x v="3"/>
    <n v="8"/>
    <n v="30000"/>
    <n v="-47.3950030340335"/>
    <n v="-78.832544947820196"/>
    <n v="2615"/>
    <n v="374"/>
    <n v="121"/>
    <x v="14"/>
    <n v="46.75"/>
    <n v="45254"/>
  </r>
  <r>
    <x v="645"/>
    <s v="Los Angeles"/>
    <x v="3"/>
    <n v="12"/>
    <n v="30000"/>
    <n v="-24.355358494794999"/>
    <n v="-77.191977801976293"/>
    <n v="3500"/>
    <n v="600"/>
    <n v="100"/>
    <x v="10"/>
    <n v="50"/>
    <n v="60000"/>
  </r>
  <r>
    <x v="646"/>
    <s v="Chicago"/>
    <x v="2"/>
    <n v="10"/>
    <n v="35000"/>
    <n v="-168.78632659437901"/>
    <n v="13.2958529418773"/>
    <n v="3000"/>
    <n v="600"/>
    <n v="100"/>
    <x v="5"/>
    <n v="60"/>
    <n v="60000"/>
  </r>
  <r>
    <x v="647"/>
    <s v="Miami"/>
    <x v="0"/>
    <n v="7"/>
    <n v="32000"/>
    <n v="-86.552478260982298"/>
    <n v="11.883316479807799"/>
    <n v="2000"/>
    <n v="397"/>
    <n v="100"/>
    <x v="1"/>
    <n v="56.714285714285715"/>
    <n v="39700"/>
  </r>
  <r>
    <x v="648"/>
    <s v="New York"/>
    <x v="2"/>
    <n v="9"/>
    <n v="32000"/>
    <n v="-167.87649460519299"/>
    <n v="68.046032312002197"/>
    <n v="2500"/>
    <n v="354"/>
    <n v="200"/>
    <x v="13"/>
    <n v="39.333333333333336"/>
    <n v="70800"/>
  </r>
  <r>
    <x v="649"/>
    <s v="Los Angeles"/>
    <x v="0"/>
    <n v="10"/>
    <n v="30000"/>
    <n v="136.50687813644899"/>
    <n v="10.4172616188132"/>
    <n v="2586"/>
    <n v="397"/>
    <n v="119"/>
    <x v="23"/>
    <n v="39.700000000000003"/>
    <n v="47243"/>
  </r>
  <r>
    <x v="650"/>
    <s v="Los Angeles"/>
    <x v="0"/>
    <n v="10"/>
    <n v="30000"/>
    <n v="-92.377194041329005"/>
    <n v="82.762383672873"/>
    <n v="2586"/>
    <n v="397"/>
    <n v="119"/>
    <x v="23"/>
    <n v="39.700000000000003"/>
    <n v="47243"/>
  </r>
  <r>
    <x v="651"/>
    <s v="Los Angeles"/>
    <x v="4"/>
    <n v="15"/>
    <n v="32000"/>
    <n v="20.641381046282898"/>
    <n v="-81.234927288012599"/>
    <n v="3500"/>
    <n v="600"/>
    <n v="100"/>
    <x v="22"/>
    <n v="40"/>
    <n v="60000"/>
  </r>
  <r>
    <x v="652"/>
    <s v="Chicago"/>
    <x v="4"/>
    <n v="10"/>
    <n v="30000"/>
    <n v="-165.96744456199301"/>
    <n v="-72.358616739466598"/>
    <n v="2636"/>
    <n v="402"/>
    <n v="114"/>
    <x v="9"/>
    <n v="40.200000000000003"/>
    <n v="45828"/>
  </r>
  <r>
    <x v="653"/>
    <s v="Miami"/>
    <x v="0"/>
    <n v="12"/>
    <n v="32000"/>
    <n v="60.065060870036902"/>
    <n v="-82.068144917331395"/>
    <n v="3500"/>
    <n v="300"/>
    <n v="126"/>
    <x v="1"/>
    <n v="25"/>
    <n v="37800"/>
  </r>
  <r>
    <x v="654"/>
    <s v="Miami"/>
    <x v="0"/>
    <n v="5"/>
    <n v="32000"/>
    <n v="-63.710155528526201"/>
    <n v="-56.650166939962801"/>
    <n v="2729"/>
    <n v="300"/>
    <n v="200"/>
    <x v="1"/>
    <n v="60"/>
    <n v="60000"/>
  </r>
  <r>
    <x v="655"/>
    <s v="New York"/>
    <x v="2"/>
    <n v="9"/>
    <n v="30000"/>
    <n v="143.25090730476001"/>
    <n v="7.4286199695020496"/>
    <n v="2847"/>
    <n v="354"/>
    <n v="122"/>
    <x v="13"/>
    <n v="39.333333333333336"/>
    <n v="43188"/>
  </r>
  <r>
    <x v="656"/>
    <s v="New York"/>
    <x v="2"/>
    <n v="9"/>
    <n v="30000"/>
    <n v="139.722548016253"/>
    <n v="26.202992656936999"/>
    <n v="2847"/>
    <n v="354"/>
    <n v="122"/>
    <x v="13"/>
    <n v="39.333333333333336"/>
    <n v="43188"/>
  </r>
  <r>
    <x v="657"/>
    <s v="Los Angeles"/>
    <x v="4"/>
    <n v="9"/>
    <n v="30000"/>
    <n v="-62.8953773897708"/>
    <n v="-81.794671569239597"/>
    <n v="2500"/>
    <n v="450"/>
    <n v="100"/>
    <x v="22"/>
    <n v="50"/>
    <n v="45000"/>
  </r>
  <r>
    <x v="658"/>
    <s v="New York"/>
    <x v="3"/>
    <n v="12"/>
    <n v="35000"/>
    <n v="144.34592244856799"/>
    <n v="80.274760172207905"/>
    <n v="2760"/>
    <n v="300"/>
    <n v="150"/>
    <x v="16"/>
    <n v="25"/>
    <n v="45000"/>
  </r>
  <r>
    <x v="659"/>
    <s v="Chicago"/>
    <x v="0"/>
    <n v="7"/>
    <n v="35000"/>
    <n v="178.61676245955999"/>
    <n v="61.589767797068603"/>
    <n v="3500"/>
    <n v="600"/>
    <n v="150"/>
    <x v="2"/>
    <n v="85.714285714285708"/>
    <n v="90000"/>
  </r>
  <r>
    <x v="660"/>
    <s v="Miami"/>
    <x v="2"/>
    <n v="8"/>
    <n v="30000"/>
    <n v="117.149639084621"/>
    <n v="-36.609753211723202"/>
    <n v="2718"/>
    <n v="354"/>
    <n v="115"/>
    <x v="7"/>
    <n v="44.25"/>
    <n v="40710"/>
  </r>
  <r>
    <x v="661"/>
    <s v="Los Angeles"/>
    <x v="4"/>
    <n v="9"/>
    <n v="32000"/>
    <n v="124.153685191883"/>
    <n v="-76.106244559235805"/>
    <n v="2794"/>
    <n v="402"/>
    <n v="113"/>
    <x v="22"/>
    <n v="44.666666666666664"/>
    <n v="45426"/>
  </r>
  <r>
    <x v="662"/>
    <s v="New York"/>
    <x v="2"/>
    <n v="9"/>
    <n v="30000"/>
    <n v="-90.356855000727606"/>
    <n v="-59.420326820569699"/>
    <n v="2847"/>
    <n v="354"/>
    <n v="122"/>
    <x v="13"/>
    <n v="39.333333333333336"/>
    <n v="43188"/>
  </r>
  <r>
    <x v="663"/>
    <s v="Chicago"/>
    <x v="0"/>
    <n v="15"/>
    <n v="35000"/>
    <n v="27.612863588792301"/>
    <n v="-67.150005524104898"/>
    <n v="2000"/>
    <n v="300"/>
    <n v="200"/>
    <x v="2"/>
    <n v="20"/>
    <n v="60000"/>
  </r>
  <r>
    <x v="664"/>
    <s v="Chicago"/>
    <x v="0"/>
    <n v="8"/>
    <n v="30000"/>
    <n v="-155.78787097174799"/>
    <n v="-67.8089197261896"/>
    <n v="2583"/>
    <n v="397"/>
    <n v="133"/>
    <x v="2"/>
    <n v="49.625"/>
    <n v="52801"/>
  </r>
  <r>
    <x v="665"/>
    <s v="New York"/>
    <x v="1"/>
    <n v="7"/>
    <n v="35000"/>
    <n v="-145.82954274419899"/>
    <n v="3.3411039598321102"/>
    <n v="2800"/>
    <n v="150"/>
    <n v="120"/>
    <x v="15"/>
    <n v="21.428571428571427"/>
    <n v="18000"/>
  </r>
  <r>
    <x v="666"/>
    <s v="Miami"/>
    <x v="3"/>
    <n v="5"/>
    <n v="32000"/>
    <n v="179.601340331985"/>
    <n v="-45.747460351187897"/>
    <n v="2615"/>
    <n v="300"/>
    <n v="100"/>
    <x v="14"/>
    <n v="60"/>
    <n v="30000"/>
  </r>
  <r>
    <x v="667"/>
    <s v="New York"/>
    <x v="1"/>
    <n v="9"/>
    <n v="30000"/>
    <n v="-62.409870206672103"/>
    <n v="-25.534851024754001"/>
    <n v="3000"/>
    <n v="600"/>
    <n v="50"/>
    <x v="15"/>
    <n v="66.666666666666671"/>
    <n v="30000"/>
  </r>
  <r>
    <x v="668"/>
    <s v="Los Angeles"/>
    <x v="4"/>
    <n v="11"/>
    <n v="30000"/>
    <n v="89.346208337584699"/>
    <n v="88.110960009178001"/>
    <n v="2794"/>
    <n v="402"/>
    <n v="113"/>
    <x v="22"/>
    <n v="36.545454545454547"/>
    <n v="45426"/>
  </r>
  <r>
    <x v="669"/>
    <s v="New York"/>
    <x v="2"/>
    <n v="7"/>
    <n v="35000"/>
    <n v="110.399419089654"/>
    <n v="33.176564806562098"/>
    <n v="2500"/>
    <n v="354"/>
    <n v="100"/>
    <x v="13"/>
    <n v="50.571428571428569"/>
    <n v="35400"/>
  </r>
  <r>
    <x v="670"/>
    <s v="Chicago"/>
    <x v="4"/>
    <n v="10"/>
    <n v="30000"/>
    <n v="128.88837756260301"/>
    <n v="80.816520068460306"/>
    <n v="2636"/>
    <n v="402"/>
    <n v="114"/>
    <x v="9"/>
    <n v="40.200000000000003"/>
    <n v="45828"/>
  </r>
  <r>
    <x v="671"/>
    <s v="New York"/>
    <x v="0"/>
    <n v="12"/>
    <n v="32000"/>
    <n v="179.146187064776"/>
    <n v="-64.339820094039197"/>
    <n v="3500"/>
    <n v="450"/>
    <n v="100"/>
    <x v="24"/>
    <n v="37.5"/>
    <n v="45000"/>
  </r>
  <r>
    <x v="672"/>
    <s v="Miami"/>
    <x v="1"/>
    <n v="15"/>
    <n v="30000"/>
    <n v="-93.061265307527606"/>
    <n v="-21.214894530137499"/>
    <n v="3500"/>
    <n v="300"/>
    <n v="50"/>
    <x v="3"/>
    <n v="20"/>
    <n v="15000"/>
  </r>
  <r>
    <x v="673"/>
    <s v="Houston"/>
    <x v="1"/>
    <n v="7"/>
    <n v="35000"/>
    <n v="-165.47370233050799"/>
    <n v="9.8517245908237605"/>
    <n v="3500"/>
    <n v="300"/>
    <n v="150"/>
    <x v="12"/>
    <n v="42.857142857142854"/>
    <n v="45000"/>
  </r>
  <r>
    <x v="674"/>
    <s v="New York"/>
    <x v="1"/>
    <n v="7"/>
    <n v="30000"/>
    <n v="-31.971053521948999"/>
    <n v="-76.183548860027201"/>
    <n v="3000"/>
    <n v="356"/>
    <n v="100"/>
    <x v="15"/>
    <n v="50.857142857142854"/>
    <n v="35600"/>
  </r>
  <r>
    <x v="675"/>
    <s v="Miami"/>
    <x v="4"/>
    <n v="12"/>
    <n v="35000"/>
    <n v="-133.17095886157901"/>
    <n v="-89.2462601469676"/>
    <n v="2700"/>
    <n v="402"/>
    <n v="200"/>
    <x v="21"/>
    <n v="33.5"/>
    <n v="80400"/>
  </r>
  <r>
    <x v="676"/>
    <s v="Miami"/>
    <x v="0"/>
    <n v="9"/>
    <n v="30000"/>
    <n v="-171.92667990166001"/>
    <n v="30.678180083445199"/>
    <n v="3500"/>
    <n v="150"/>
    <n v="126"/>
    <x v="1"/>
    <n v="16.666666666666668"/>
    <n v="18900"/>
  </r>
  <r>
    <x v="677"/>
    <s v="Chicago"/>
    <x v="2"/>
    <n v="10"/>
    <n v="30000"/>
    <n v="-50.246342229065"/>
    <n v="25.527513024258401"/>
    <n v="2928"/>
    <n v="354"/>
    <n v="121"/>
    <x v="5"/>
    <n v="35.4"/>
    <n v="42834"/>
  </r>
  <r>
    <x v="678"/>
    <s v="Miami"/>
    <x v="2"/>
    <n v="8"/>
    <n v="30000"/>
    <n v="102.14577038708499"/>
    <n v="-16.058014200069898"/>
    <n v="2718"/>
    <n v="354"/>
    <n v="115"/>
    <x v="7"/>
    <n v="44.25"/>
    <n v="40710"/>
  </r>
  <r>
    <x v="679"/>
    <s v="Miami"/>
    <x v="4"/>
    <n v="9"/>
    <n v="30000"/>
    <n v="23.825048841025499"/>
    <n v="-1.8640663142341201"/>
    <n v="2700"/>
    <n v="402"/>
    <n v="128"/>
    <x v="21"/>
    <n v="44.666666666666664"/>
    <n v="51456"/>
  </r>
  <r>
    <x v="680"/>
    <s v="Miami"/>
    <x v="1"/>
    <n v="15"/>
    <n v="30000"/>
    <n v="-67.399923884272496"/>
    <n v="-15.220259893423901"/>
    <n v="3500"/>
    <n v="150"/>
    <n v="50"/>
    <x v="3"/>
    <n v="10"/>
    <n v="7500"/>
  </r>
  <r>
    <x v="681"/>
    <s v="Miami"/>
    <x v="3"/>
    <n v="7"/>
    <n v="30000"/>
    <n v="55.563121977379097"/>
    <n v="-85.679091927919998"/>
    <n v="3000"/>
    <n v="150"/>
    <n v="150"/>
    <x v="14"/>
    <n v="21.428571428571427"/>
    <n v="22500"/>
  </r>
  <r>
    <x v="682"/>
    <s v="Los Angeles"/>
    <x v="4"/>
    <n v="15"/>
    <n v="30000"/>
    <n v="-96.473455088828103"/>
    <n v="-29.633110880856801"/>
    <n v="2500"/>
    <n v="450"/>
    <n v="113"/>
    <x v="22"/>
    <n v="30"/>
    <n v="50850"/>
  </r>
  <r>
    <x v="683"/>
    <s v="Los Angeles"/>
    <x v="4"/>
    <n v="9"/>
    <n v="35000"/>
    <n v="-174.82267941404899"/>
    <n v="-58.125194028487797"/>
    <n v="2500"/>
    <n v="150"/>
    <n v="150"/>
    <x v="22"/>
    <n v="16.666666666666668"/>
    <n v="22500"/>
  </r>
  <r>
    <x v="684"/>
    <s v="Chicago"/>
    <x v="0"/>
    <n v="7"/>
    <n v="30000"/>
    <n v="95.167219117113902"/>
    <n v="-72.283645961753606"/>
    <n v="2583"/>
    <n v="300"/>
    <n v="50"/>
    <x v="2"/>
    <n v="42.857142857142854"/>
    <n v="15000"/>
  </r>
  <r>
    <x v="685"/>
    <s v="New York"/>
    <x v="2"/>
    <n v="15"/>
    <n v="35000"/>
    <n v="44.547510551043302"/>
    <n v="82.209678100082996"/>
    <n v="2500"/>
    <n v="354"/>
    <n v="122"/>
    <x v="13"/>
    <n v="23.6"/>
    <n v="43188"/>
  </r>
  <r>
    <x v="686"/>
    <s v="Miami"/>
    <x v="4"/>
    <n v="5"/>
    <n v="30000"/>
    <n v="94.428944820345606"/>
    <n v="17.8847505075898"/>
    <n v="2500"/>
    <n v="600"/>
    <n v="150"/>
    <x v="21"/>
    <n v="120"/>
    <n v="90000"/>
  </r>
  <r>
    <x v="687"/>
    <s v="New York"/>
    <x v="4"/>
    <n v="11"/>
    <n v="30000"/>
    <n v="-165.98231399244"/>
    <n v="41.158131162588496"/>
    <n v="2588"/>
    <n v="402"/>
    <n v="134"/>
    <x v="20"/>
    <n v="36.545454545454547"/>
    <n v="53868"/>
  </r>
  <r>
    <x v="688"/>
    <s v="New York"/>
    <x v="1"/>
    <n v="9"/>
    <n v="32000"/>
    <n v="121.363066019035"/>
    <n v="-33.2345262120988"/>
    <n v="2800"/>
    <n v="356"/>
    <n v="150"/>
    <x v="15"/>
    <n v="39.555555555555557"/>
    <n v="53400"/>
  </r>
  <r>
    <x v="689"/>
    <s v="Chicago"/>
    <x v="1"/>
    <n v="9"/>
    <n v="30000"/>
    <n v="43.029432013069197"/>
    <n v="-19.233516691077298"/>
    <n v="2678"/>
    <n v="356"/>
    <n v="137"/>
    <x v="17"/>
    <n v="39.555555555555557"/>
    <n v="48772"/>
  </r>
  <r>
    <x v="690"/>
    <s v="Miami"/>
    <x v="3"/>
    <n v="15"/>
    <n v="30000"/>
    <n v="22.822326256550401"/>
    <n v="-47.353681098589803"/>
    <n v="2500"/>
    <n v="300"/>
    <n v="50"/>
    <x v="14"/>
    <n v="20"/>
    <n v="15000"/>
  </r>
  <r>
    <x v="691"/>
    <s v="Miami"/>
    <x v="0"/>
    <n v="12"/>
    <n v="35000"/>
    <n v="44.861057321231399"/>
    <n v="-72.546179226223501"/>
    <n v="2500"/>
    <n v="150"/>
    <n v="150"/>
    <x v="1"/>
    <n v="12.5"/>
    <n v="22500"/>
  </r>
  <r>
    <x v="692"/>
    <s v="Houston"/>
    <x v="3"/>
    <n v="8"/>
    <n v="30000"/>
    <n v="131.19596887261099"/>
    <n v="-57.7743052605149"/>
    <n v="2846"/>
    <n v="374"/>
    <n v="138"/>
    <x v="8"/>
    <n v="46.75"/>
    <n v="51612"/>
  </r>
  <r>
    <x v="693"/>
    <s v="New York"/>
    <x v="1"/>
    <n v="15"/>
    <n v="30000"/>
    <n v="31.2971423612065"/>
    <n v="53.552528153367497"/>
    <n v="3000"/>
    <n v="150"/>
    <n v="100"/>
    <x v="15"/>
    <n v="10"/>
    <n v="15000"/>
  </r>
  <r>
    <x v="694"/>
    <s v="New York"/>
    <x v="2"/>
    <n v="5"/>
    <n v="32000"/>
    <n v="29.142136759744499"/>
    <n v="31.958244933079701"/>
    <n v="3500"/>
    <n v="150"/>
    <n v="50"/>
    <x v="13"/>
    <n v="30"/>
    <n v="7500"/>
  </r>
  <r>
    <x v="695"/>
    <s v="Los Angeles"/>
    <x v="1"/>
    <n v="8"/>
    <n v="30000"/>
    <n v="176.64449654367601"/>
    <n v="8.4471976773858408"/>
    <n v="3000"/>
    <n v="356"/>
    <n v="145"/>
    <x v="4"/>
    <n v="44.5"/>
    <n v="51620"/>
  </r>
  <r>
    <x v="696"/>
    <s v="Houston"/>
    <x v="0"/>
    <n v="10"/>
    <n v="30000"/>
    <n v="92.422860144684506"/>
    <n v="-4.4838228839817402"/>
    <n v="2550"/>
    <n v="397"/>
    <n v="120"/>
    <x v="0"/>
    <n v="39.700000000000003"/>
    <n v="47640"/>
  </r>
  <r>
    <x v="697"/>
    <s v="Los Angeles"/>
    <x v="1"/>
    <n v="8"/>
    <n v="30000"/>
    <n v="-20.774230037591298"/>
    <n v="76.038171058102407"/>
    <n v="3000"/>
    <n v="356"/>
    <n v="145"/>
    <x v="4"/>
    <n v="44.5"/>
    <n v="51620"/>
  </r>
  <r>
    <x v="698"/>
    <s v="Los Angeles"/>
    <x v="0"/>
    <n v="12"/>
    <n v="30000"/>
    <n v="74.662920011853998"/>
    <n v="-76.907709399839703"/>
    <n v="3500"/>
    <n v="450"/>
    <n v="100"/>
    <x v="23"/>
    <n v="37.5"/>
    <n v="45000"/>
  </r>
  <r>
    <x v="699"/>
    <s v="Los Angeles"/>
    <x v="0"/>
    <n v="7"/>
    <n v="32000"/>
    <n v="-39.877030190956098"/>
    <n v="-39.491853617175103"/>
    <n v="2000"/>
    <n v="450"/>
    <n v="100"/>
    <x v="23"/>
    <n v="64.285714285714292"/>
    <n v="45000"/>
  </r>
  <r>
    <x v="700"/>
    <s v="Chicago"/>
    <x v="0"/>
    <n v="5"/>
    <n v="30000"/>
    <n v="-97.604833505940405"/>
    <n v="-27.011186357271502"/>
    <n v="2583"/>
    <n v="397"/>
    <n v="50"/>
    <x v="2"/>
    <n v="79.400000000000006"/>
    <n v="19850"/>
  </r>
  <r>
    <x v="701"/>
    <s v="Chicago"/>
    <x v="0"/>
    <n v="8"/>
    <n v="30000"/>
    <n v="34.866675679593399"/>
    <n v="50.8366461983018"/>
    <n v="2583"/>
    <n v="300"/>
    <n v="200"/>
    <x v="2"/>
    <n v="37.5"/>
    <n v="60000"/>
  </r>
  <r>
    <x v="702"/>
    <s v="Los Angeles"/>
    <x v="0"/>
    <n v="5"/>
    <n v="30000"/>
    <n v="154.14555532102199"/>
    <n v="88.652631629154897"/>
    <n v="2000"/>
    <n v="600"/>
    <n v="119"/>
    <x v="23"/>
    <n v="120"/>
    <n v="71400"/>
  </r>
  <r>
    <x v="703"/>
    <s v="Houston"/>
    <x v="2"/>
    <n v="9"/>
    <n v="30000"/>
    <n v="154.49022720556701"/>
    <n v="-46.679307343712502"/>
    <n v="2647"/>
    <n v="354"/>
    <n v="113"/>
    <x v="19"/>
    <n v="39.333333333333336"/>
    <n v="40002"/>
  </r>
  <r>
    <x v="704"/>
    <s v="New York"/>
    <x v="3"/>
    <n v="15"/>
    <n v="32000"/>
    <n v="-56.9140998820235"/>
    <n v="67.375320144674504"/>
    <n v="2000"/>
    <n v="600"/>
    <n v="50"/>
    <x v="16"/>
    <n v="40"/>
    <n v="30000"/>
  </r>
  <r>
    <x v="705"/>
    <s v="Houston"/>
    <x v="4"/>
    <n v="8"/>
    <n v="30000"/>
    <n v="9.9638878398101802"/>
    <n v="59.512096877722399"/>
    <n v="2500"/>
    <n v="402"/>
    <n v="111"/>
    <x v="11"/>
    <n v="50.25"/>
    <n v="44622"/>
  </r>
  <r>
    <x v="706"/>
    <s v="Miami"/>
    <x v="3"/>
    <n v="8"/>
    <n v="30000"/>
    <n v="-103.81107651485"/>
    <n v="-49.561668424482001"/>
    <n v="2615"/>
    <n v="374"/>
    <n v="121"/>
    <x v="14"/>
    <n v="46.75"/>
    <n v="45254"/>
  </r>
  <r>
    <x v="707"/>
    <s v="Chicago"/>
    <x v="0"/>
    <n v="8"/>
    <n v="30000"/>
    <n v="178.427199419598"/>
    <n v="-18.1201355641399"/>
    <n v="2583"/>
    <n v="397"/>
    <n v="133"/>
    <x v="2"/>
    <n v="49.625"/>
    <n v="52801"/>
  </r>
  <r>
    <x v="708"/>
    <s v="New York"/>
    <x v="2"/>
    <n v="9"/>
    <n v="30000"/>
    <n v="173.20244683245701"/>
    <n v="-16.258883527346601"/>
    <n v="2847"/>
    <n v="354"/>
    <n v="122"/>
    <x v="13"/>
    <n v="39.333333333333336"/>
    <n v="43188"/>
  </r>
  <r>
    <x v="709"/>
    <s v="New York"/>
    <x v="1"/>
    <n v="9"/>
    <n v="30000"/>
    <n v="53.823214694680999"/>
    <n v="86.079720334780504"/>
    <n v="2800"/>
    <n v="450"/>
    <n v="50"/>
    <x v="15"/>
    <n v="50"/>
    <n v="22500"/>
  </r>
  <r>
    <x v="710"/>
    <s v="Miami"/>
    <x v="2"/>
    <n v="5"/>
    <n v="30000"/>
    <n v="109.58906148389001"/>
    <n v="-57.439457751798301"/>
    <n v="3000"/>
    <n v="300"/>
    <n v="100"/>
    <x v="7"/>
    <n v="60"/>
    <n v="30000"/>
  </r>
  <r>
    <x v="711"/>
    <s v="Miami"/>
    <x v="0"/>
    <n v="9"/>
    <n v="30000"/>
    <n v="77.436058062132005"/>
    <n v="53.848434798860801"/>
    <n v="2729"/>
    <n v="397"/>
    <n v="126"/>
    <x v="1"/>
    <n v="44.111111111111114"/>
    <n v="50022"/>
  </r>
  <r>
    <x v="712"/>
    <s v="Los Angeles"/>
    <x v="2"/>
    <n v="5"/>
    <n v="32000"/>
    <n v="33.5369588542085"/>
    <n v="-29.845311448840199"/>
    <n v="3500"/>
    <n v="354"/>
    <n v="200"/>
    <x v="18"/>
    <n v="70.8"/>
    <n v="70800"/>
  </r>
  <r>
    <x v="713"/>
    <s v="Chicago"/>
    <x v="2"/>
    <n v="10"/>
    <n v="30000"/>
    <n v="-160.79472108399699"/>
    <n v="41.556662239708899"/>
    <n v="2928"/>
    <n v="354"/>
    <n v="121"/>
    <x v="5"/>
    <n v="35.4"/>
    <n v="42834"/>
  </r>
  <r>
    <x v="714"/>
    <s v="Chicago"/>
    <x v="0"/>
    <n v="8"/>
    <n v="30000"/>
    <n v="-16.284836681042002"/>
    <n v="-14.398019226780701"/>
    <n v="2583"/>
    <n v="397"/>
    <n v="133"/>
    <x v="2"/>
    <n v="49.625"/>
    <n v="52801"/>
  </r>
  <r>
    <x v="715"/>
    <s v="Houston"/>
    <x v="2"/>
    <n v="9"/>
    <n v="30000"/>
    <n v="62.923068780267798"/>
    <n v="14.104757360977199"/>
    <n v="2647"/>
    <n v="300"/>
    <n v="50"/>
    <x v="19"/>
    <n v="33.333333333333336"/>
    <n v="15000"/>
  </r>
  <r>
    <x v="716"/>
    <s v="Los Angeles"/>
    <x v="4"/>
    <n v="11"/>
    <n v="30000"/>
    <n v="63.911380998126504"/>
    <n v="59.870119198703598"/>
    <n v="2794"/>
    <n v="402"/>
    <n v="113"/>
    <x v="22"/>
    <n v="36.545454545454547"/>
    <n v="45426"/>
  </r>
  <r>
    <x v="717"/>
    <s v="Los Angeles"/>
    <x v="4"/>
    <n v="11"/>
    <n v="30000"/>
    <n v="-45.675857367941902"/>
    <n v="54.749801697099102"/>
    <n v="2794"/>
    <n v="402"/>
    <n v="113"/>
    <x v="22"/>
    <n v="36.545454545454547"/>
    <n v="45426"/>
  </r>
  <r>
    <x v="718"/>
    <s v="Los Angeles"/>
    <x v="2"/>
    <n v="7"/>
    <n v="35000"/>
    <n v="159.009115196891"/>
    <n v="65.956173037146002"/>
    <n v="3000"/>
    <n v="150"/>
    <n v="200"/>
    <x v="18"/>
    <n v="21.428571428571427"/>
    <n v="30000"/>
  </r>
  <r>
    <x v="719"/>
    <s v="Los Angeles"/>
    <x v="1"/>
    <n v="5"/>
    <n v="30000"/>
    <n v="-119.751468394759"/>
    <n v="-79.268881437961397"/>
    <n v="2000"/>
    <n v="356"/>
    <n v="150"/>
    <x v="4"/>
    <n v="71.2"/>
    <n v="53400"/>
  </r>
  <r>
    <x v="720"/>
    <s v="Chicago"/>
    <x v="0"/>
    <n v="7"/>
    <n v="32000"/>
    <n v="0.12940063760183301"/>
    <n v="34.569099547154103"/>
    <n v="3500"/>
    <n v="300"/>
    <n v="100"/>
    <x v="2"/>
    <n v="42.857142857142854"/>
    <n v="30000"/>
  </r>
  <r>
    <x v="721"/>
    <s v="Chicago"/>
    <x v="4"/>
    <n v="10"/>
    <n v="30000"/>
    <n v="68.718231558296196"/>
    <n v="-64.802272190082704"/>
    <n v="2636"/>
    <n v="402"/>
    <n v="114"/>
    <x v="9"/>
    <n v="40.200000000000003"/>
    <n v="45828"/>
  </r>
  <r>
    <x v="722"/>
    <s v="Los Angeles"/>
    <x v="1"/>
    <n v="8"/>
    <n v="30000"/>
    <n v="70.968890121051302"/>
    <n v="-15.152657756686001"/>
    <n v="3000"/>
    <n v="356"/>
    <n v="145"/>
    <x v="4"/>
    <n v="44.5"/>
    <n v="51620"/>
  </r>
  <r>
    <x v="723"/>
    <s v="Houston"/>
    <x v="2"/>
    <n v="7"/>
    <n v="35000"/>
    <n v="53.510024436773598"/>
    <n v="8.7459147098439303"/>
    <n v="2500"/>
    <n v="150"/>
    <n v="113"/>
    <x v="19"/>
    <n v="21.428571428571427"/>
    <n v="16950"/>
  </r>
  <r>
    <x v="724"/>
    <s v="New York"/>
    <x v="1"/>
    <n v="9"/>
    <n v="32000"/>
    <n v="-80.896243157330304"/>
    <n v="-17.5068927455705"/>
    <n v="2000"/>
    <n v="150"/>
    <n v="50"/>
    <x v="15"/>
    <n v="16.666666666666668"/>
    <n v="7500"/>
  </r>
  <r>
    <x v="725"/>
    <s v="New York"/>
    <x v="3"/>
    <n v="5"/>
    <n v="32000"/>
    <n v="-123.765635272816"/>
    <n v="3.5301016445413498"/>
    <n v="2000"/>
    <n v="450"/>
    <n v="150"/>
    <x v="16"/>
    <n v="90"/>
    <n v="67500"/>
  </r>
  <r>
    <x v="726"/>
    <s v="Houston"/>
    <x v="4"/>
    <n v="7"/>
    <n v="32000"/>
    <n v="48.938517657615897"/>
    <n v="89.374735583751502"/>
    <n v="2500"/>
    <n v="600"/>
    <n v="100"/>
    <x v="11"/>
    <n v="85.714285714285708"/>
    <n v="60000"/>
  </r>
  <r>
    <x v="727"/>
    <s v="Los Angeles"/>
    <x v="2"/>
    <n v="7"/>
    <n v="30000"/>
    <n v="35.7487618101976"/>
    <n v="-65.660883531686196"/>
    <n v="3000"/>
    <n v="150"/>
    <n v="150"/>
    <x v="18"/>
    <n v="21.428571428571427"/>
    <n v="22500"/>
  </r>
  <r>
    <x v="728"/>
    <s v="Chicago"/>
    <x v="0"/>
    <n v="8"/>
    <n v="30000"/>
    <n v="-115.431836295873"/>
    <n v="31.582088160556602"/>
    <n v="2583"/>
    <n v="397"/>
    <n v="133"/>
    <x v="2"/>
    <n v="49.625"/>
    <n v="52801"/>
  </r>
  <r>
    <x v="729"/>
    <s v="New York"/>
    <x v="2"/>
    <n v="9"/>
    <n v="35000"/>
    <n v="73.850092405402805"/>
    <n v="-18.719826050589301"/>
    <n v="3500"/>
    <n v="150"/>
    <n v="50"/>
    <x v="13"/>
    <n v="16.666666666666668"/>
    <n v="7500"/>
  </r>
  <r>
    <x v="730"/>
    <s v="Miami"/>
    <x v="0"/>
    <n v="15"/>
    <n v="35000"/>
    <n v="-16.138082975883702"/>
    <n v="-66.058236196680795"/>
    <n v="3500"/>
    <n v="600"/>
    <n v="150"/>
    <x v="1"/>
    <n v="40"/>
    <n v="90000"/>
  </r>
  <r>
    <x v="731"/>
    <s v="Miami"/>
    <x v="2"/>
    <n v="8"/>
    <n v="30000"/>
    <n v="60.393812977134999"/>
    <n v="-61.427382592624298"/>
    <n v="2718"/>
    <n v="354"/>
    <n v="115"/>
    <x v="7"/>
    <n v="44.25"/>
    <n v="40710"/>
  </r>
  <r>
    <x v="732"/>
    <s v="Houston"/>
    <x v="1"/>
    <n v="12"/>
    <n v="30000"/>
    <n v="121.452148717254"/>
    <n v="80.869159124211095"/>
    <n v="2000"/>
    <n v="356"/>
    <n v="100"/>
    <x v="12"/>
    <n v="29.666666666666668"/>
    <n v="35600"/>
  </r>
  <r>
    <x v="733"/>
    <s v="Los Angeles"/>
    <x v="1"/>
    <n v="8"/>
    <n v="30000"/>
    <n v="-118.897765712308"/>
    <n v="68.328269408117194"/>
    <n v="3500"/>
    <n v="450"/>
    <n v="200"/>
    <x v="4"/>
    <n v="56.25"/>
    <n v="90000"/>
  </r>
  <r>
    <x v="734"/>
    <s v="New York"/>
    <x v="1"/>
    <n v="9"/>
    <n v="30000"/>
    <n v="-173.10784752113901"/>
    <n v="73.267552874703895"/>
    <n v="2800"/>
    <n v="356"/>
    <n v="120"/>
    <x v="15"/>
    <n v="39.555555555555557"/>
    <n v="42720"/>
  </r>
  <r>
    <x v="735"/>
    <s v="Los Angeles"/>
    <x v="3"/>
    <n v="9"/>
    <n v="30000"/>
    <n v="100.47693110248299"/>
    <n v="88.475899648929598"/>
    <n v="2760"/>
    <n v="150"/>
    <n v="50"/>
    <x v="10"/>
    <n v="16.666666666666668"/>
    <n v="7500"/>
  </r>
  <r>
    <x v="736"/>
    <s v="New York"/>
    <x v="0"/>
    <n v="7"/>
    <n v="35000"/>
    <n v="39.491073054941801"/>
    <n v="-52.503229798466798"/>
    <n v="2500"/>
    <n v="150"/>
    <n v="100"/>
    <x v="24"/>
    <n v="21.428571428571427"/>
    <n v="15000"/>
  </r>
  <r>
    <x v="737"/>
    <s v="Houston"/>
    <x v="1"/>
    <n v="9"/>
    <n v="30000"/>
    <n v="71.870245063963793"/>
    <n v="-26.020919274468898"/>
    <n v="2500"/>
    <n v="356"/>
    <n v="127"/>
    <x v="12"/>
    <n v="39.555555555555557"/>
    <n v="45212"/>
  </r>
  <r>
    <x v="738"/>
    <s v="Houston"/>
    <x v="3"/>
    <n v="9"/>
    <n v="32000"/>
    <n v="121.735790995911"/>
    <n v="30.459425386475999"/>
    <n v="2846"/>
    <n v="374"/>
    <n v="100"/>
    <x v="8"/>
    <n v="41.555555555555557"/>
    <n v="37400"/>
  </r>
  <r>
    <x v="739"/>
    <s v="Miami"/>
    <x v="0"/>
    <n v="5"/>
    <n v="30000"/>
    <n v="109.01193653682"/>
    <n v="-2.9155428250834898"/>
    <n v="3000"/>
    <n v="300"/>
    <n v="100"/>
    <x v="1"/>
    <n v="60"/>
    <n v="30000"/>
  </r>
  <r>
    <x v="740"/>
    <s v="Los Angeles"/>
    <x v="2"/>
    <n v="8"/>
    <n v="30000"/>
    <n v="165.931252894377"/>
    <n v="-14.6898839919"/>
    <n v="2882"/>
    <n v="354"/>
    <n v="125"/>
    <x v="18"/>
    <n v="44.25"/>
    <n v="44250"/>
  </r>
  <r>
    <x v="741"/>
    <s v="Miami"/>
    <x v="3"/>
    <n v="8"/>
    <n v="30000"/>
    <n v="12.9366283867625"/>
    <n v="-25.5939751195932"/>
    <n v="2615"/>
    <n v="374"/>
    <n v="121"/>
    <x v="14"/>
    <n v="46.75"/>
    <n v="45254"/>
  </r>
  <r>
    <x v="742"/>
    <s v="Los Angeles"/>
    <x v="4"/>
    <n v="7"/>
    <n v="30000"/>
    <n v="-4.14157224243408"/>
    <n v="16.8805137498214"/>
    <n v="2794"/>
    <n v="150"/>
    <n v="150"/>
    <x v="22"/>
    <n v="21.428571428571427"/>
    <n v="22500"/>
  </r>
  <r>
    <x v="743"/>
    <s v="Miami"/>
    <x v="3"/>
    <n v="12"/>
    <n v="32000"/>
    <n v="-35.320608039337202"/>
    <n v="13.606817155214801"/>
    <n v="3000"/>
    <n v="300"/>
    <n v="200"/>
    <x v="14"/>
    <n v="25"/>
    <n v="60000"/>
  </r>
  <r>
    <x v="744"/>
    <s v="Chicago"/>
    <x v="3"/>
    <n v="9"/>
    <n v="32000"/>
    <n v="-124.671224576086"/>
    <n v="-60.937589868436802"/>
    <n v="2500"/>
    <n v="300"/>
    <n v="150"/>
    <x v="6"/>
    <n v="33.333333333333336"/>
    <n v="45000"/>
  </r>
  <r>
    <x v="745"/>
    <s v="Chicago"/>
    <x v="0"/>
    <n v="8"/>
    <n v="30000"/>
    <n v="26.138603837528098"/>
    <n v="-5.0868292466809599"/>
    <n v="2583"/>
    <n v="397"/>
    <n v="133"/>
    <x v="2"/>
    <n v="49.625"/>
    <n v="52801"/>
  </r>
  <r>
    <x v="746"/>
    <s v="Chicago"/>
    <x v="2"/>
    <n v="10"/>
    <n v="35000"/>
    <n v="-80.275491242647604"/>
    <n v="9.6249197177729808"/>
    <n v="3000"/>
    <n v="354"/>
    <n v="200"/>
    <x v="5"/>
    <n v="35.4"/>
    <n v="70800"/>
  </r>
  <r>
    <x v="747"/>
    <s v="Chicago"/>
    <x v="4"/>
    <n v="15"/>
    <n v="30000"/>
    <n v="151.670704396671"/>
    <n v="12.6516489716503"/>
    <n v="2000"/>
    <n v="300"/>
    <n v="50"/>
    <x v="9"/>
    <n v="20"/>
    <n v="15000"/>
  </r>
  <r>
    <x v="748"/>
    <s v="New York"/>
    <x v="1"/>
    <n v="9"/>
    <n v="32000"/>
    <n v="29.948689539755101"/>
    <n v="-52.180705275776702"/>
    <n v="3000"/>
    <n v="150"/>
    <n v="200"/>
    <x v="15"/>
    <n v="16.666666666666668"/>
    <n v="30000"/>
  </r>
  <r>
    <x v="749"/>
    <s v="Chicago"/>
    <x v="1"/>
    <n v="9"/>
    <n v="30000"/>
    <n v="33.4224649829196"/>
    <n v="43.608850605411597"/>
    <n v="2678"/>
    <n v="356"/>
    <n v="137"/>
    <x v="17"/>
    <n v="39.555555555555557"/>
    <n v="48772"/>
  </r>
  <r>
    <x v="750"/>
    <s v="Houston"/>
    <x v="3"/>
    <n v="12"/>
    <n v="30000"/>
    <n v="-52.227122084276402"/>
    <n v="-85.4641629322075"/>
    <n v="2846"/>
    <n v="300"/>
    <n v="150"/>
    <x v="8"/>
    <n v="25"/>
    <n v="45000"/>
  </r>
  <r>
    <x v="751"/>
    <s v="Houston"/>
    <x v="0"/>
    <n v="10"/>
    <n v="32000"/>
    <n v="-161.28383328802499"/>
    <n v="-26.130266002230702"/>
    <n v="2550"/>
    <n v="397"/>
    <n v="50"/>
    <x v="0"/>
    <n v="39.700000000000003"/>
    <n v="19850"/>
  </r>
  <r>
    <x v="752"/>
    <s v="New York"/>
    <x v="0"/>
    <n v="9"/>
    <n v="30000"/>
    <n v="-168.572244465724"/>
    <n v="50.438276736413997"/>
    <n v="3500"/>
    <n v="450"/>
    <n v="128"/>
    <x v="24"/>
    <n v="50"/>
    <n v="57600"/>
  </r>
  <r>
    <x v="753"/>
    <s v="Chicago"/>
    <x v="1"/>
    <n v="9"/>
    <n v="30000"/>
    <n v="-27.5993481048489"/>
    <n v="11.5007257899724"/>
    <n v="2678"/>
    <n v="356"/>
    <n v="137"/>
    <x v="17"/>
    <n v="39.555555555555557"/>
    <n v="48772"/>
  </r>
  <r>
    <x v="754"/>
    <s v="Chicago"/>
    <x v="4"/>
    <n v="5"/>
    <n v="30000"/>
    <n v="-149.556463884994"/>
    <n v="-42.990762148045199"/>
    <n v="3500"/>
    <n v="450"/>
    <n v="114"/>
    <x v="9"/>
    <n v="90"/>
    <n v="51300"/>
  </r>
  <r>
    <x v="755"/>
    <s v="Chicago"/>
    <x v="2"/>
    <n v="7"/>
    <n v="30000"/>
    <n v="38.464903994450097"/>
    <n v="35.091561481748599"/>
    <n v="2928"/>
    <n v="600"/>
    <n v="150"/>
    <x v="5"/>
    <n v="85.714285714285708"/>
    <n v="90000"/>
  </r>
  <r>
    <x v="756"/>
    <s v="Miami"/>
    <x v="4"/>
    <n v="12"/>
    <n v="30000"/>
    <n v="137.150282030277"/>
    <n v="12.1303699480932"/>
    <n v="2500"/>
    <n v="300"/>
    <n v="200"/>
    <x v="21"/>
    <n v="25"/>
    <n v="60000"/>
  </r>
  <r>
    <x v="757"/>
    <s v="Los Angeles"/>
    <x v="2"/>
    <n v="8"/>
    <n v="30000"/>
    <n v="137.84933394673999"/>
    <n v="53.323849702149701"/>
    <n v="2882"/>
    <n v="354"/>
    <n v="125"/>
    <x v="18"/>
    <n v="44.25"/>
    <n v="44250"/>
  </r>
  <r>
    <x v="758"/>
    <s v="Miami"/>
    <x v="1"/>
    <n v="5"/>
    <n v="35000"/>
    <n v="57.256347647603697"/>
    <n v="42.304533514168199"/>
    <n v="3000"/>
    <n v="356"/>
    <n v="105"/>
    <x v="3"/>
    <n v="71.2"/>
    <n v="37380"/>
  </r>
  <r>
    <x v="759"/>
    <s v="Los Angeles"/>
    <x v="2"/>
    <n v="7"/>
    <n v="30000"/>
    <n v="-103.956540669745"/>
    <n v="19.8194259665222"/>
    <n v="2882"/>
    <n v="300"/>
    <n v="150"/>
    <x v="18"/>
    <n v="42.857142857142854"/>
    <n v="45000"/>
  </r>
  <r>
    <x v="760"/>
    <s v="Chicago"/>
    <x v="0"/>
    <n v="5"/>
    <n v="30000"/>
    <n v="130.67885928919401"/>
    <n v="-2.1280184440534802"/>
    <n v="2583"/>
    <n v="150"/>
    <n v="200"/>
    <x v="2"/>
    <n v="30"/>
    <n v="30000"/>
  </r>
  <r>
    <x v="761"/>
    <s v="Chicago"/>
    <x v="3"/>
    <n v="9"/>
    <n v="30000"/>
    <n v="138.99363671275501"/>
    <n v="-66.027217379845794"/>
    <n v="2678"/>
    <n v="374"/>
    <n v="116"/>
    <x v="6"/>
    <n v="41.555555555555557"/>
    <n v="43384"/>
  </r>
  <r>
    <x v="762"/>
    <s v="Miami"/>
    <x v="3"/>
    <n v="9"/>
    <n v="35000"/>
    <n v="-109.204709416935"/>
    <n v="-42.9600567806309"/>
    <n v="2000"/>
    <n v="450"/>
    <n v="150"/>
    <x v="14"/>
    <n v="50"/>
    <n v="67500"/>
  </r>
  <r>
    <x v="763"/>
    <s v="Miami"/>
    <x v="1"/>
    <n v="12"/>
    <n v="30000"/>
    <n v="85.473390877443805"/>
    <n v="-14.5620948749247"/>
    <n v="2000"/>
    <n v="600"/>
    <n v="200"/>
    <x v="3"/>
    <n v="50"/>
    <n v="120000"/>
  </r>
  <r>
    <x v="764"/>
    <s v="Los Angeles"/>
    <x v="0"/>
    <n v="10"/>
    <n v="30000"/>
    <n v="-76.852962386235703"/>
    <n v="17.873871661150002"/>
    <n v="2586"/>
    <n v="397"/>
    <n v="119"/>
    <x v="23"/>
    <n v="39.700000000000003"/>
    <n v="47243"/>
  </r>
  <r>
    <x v="765"/>
    <s v="Houston"/>
    <x v="4"/>
    <n v="7"/>
    <n v="32000"/>
    <n v="108.950512447055"/>
    <n v="2.4674139387548699"/>
    <n v="2500"/>
    <n v="450"/>
    <n v="150"/>
    <x v="11"/>
    <n v="64.285714285714292"/>
    <n v="67500"/>
  </r>
  <r>
    <x v="766"/>
    <s v="Los Angeles"/>
    <x v="0"/>
    <n v="12"/>
    <n v="30000"/>
    <n v="179.005643965297"/>
    <n v="-38.126785327284701"/>
    <n v="3000"/>
    <n v="397"/>
    <n v="119"/>
    <x v="23"/>
    <n v="33.083333333333336"/>
    <n v="47243"/>
  </r>
  <r>
    <x v="767"/>
    <s v="Miami"/>
    <x v="3"/>
    <n v="8"/>
    <n v="30000"/>
    <n v="-169.190638081419"/>
    <n v="-88.836415597852096"/>
    <n v="2615"/>
    <n v="374"/>
    <n v="121"/>
    <x v="14"/>
    <n v="46.75"/>
    <n v="45254"/>
  </r>
  <r>
    <x v="768"/>
    <s v="Miami"/>
    <x v="3"/>
    <n v="8"/>
    <n v="30000"/>
    <n v="143.05171168473501"/>
    <n v="-0.67694005785348599"/>
    <n v="2500"/>
    <n v="450"/>
    <n v="200"/>
    <x v="14"/>
    <n v="56.25"/>
    <n v="90000"/>
  </r>
  <r>
    <x v="769"/>
    <s v="New York"/>
    <x v="0"/>
    <n v="12"/>
    <n v="32000"/>
    <n v="44.1469920955169"/>
    <n v="-38.587322058796303"/>
    <n v="2500"/>
    <n v="450"/>
    <n v="200"/>
    <x v="24"/>
    <n v="37.5"/>
    <n v="90000"/>
  </r>
  <r>
    <x v="770"/>
    <s v="Miami"/>
    <x v="0"/>
    <n v="5"/>
    <n v="35000"/>
    <n v="170.41774289933599"/>
    <n v="42.229494127896302"/>
    <n v="3000"/>
    <n v="450"/>
    <n v="200"/>
    <x v="1"/>
    <n v="90"/>
    <n v="90000"/>
  </r>
  <r>
    <x v="771"/>
    <s v="New York"/>
    <x v="3"/>
    <n v="9"/>
    <n v="35000"/>
    <n v="-12.596573690486"/>
    <n v="-85.689672251312999"/>
    <n v="3500"/>
    <n v="150"/>
    <n v="150"/>
    <x v="16"/>
    <n v="16.666666666666668"/>
    <n v="22500"/>
  </r>
  <r>
    <x v="772"/>
    <s v="Houston"/>
    <x v="4"/>
    <n v="7"/>
    <n v="30000"/>
    <n v="125.059655005694"/>
    <n v="15.2690060350424"/>
    <n v="2000"/>
    <n v="600"/>
    <n v="111"/>
    <x v="11"/>
    <n v="85.714285714285708"/>
    <n v="66600"/>
  </r>
  <r>
    <x v="773"/>
    <s v="Los Angeles"/>
    <x v="1"/>
    <n v="8"/>
    <n v="30000"/>
    <n v="-157.53813530462"/>
    <n v="79.465362751091803"/>
    <n v="3000"/>
    <n v="356"/>
    <n v="145"/>
    <x v="4"/>
    <n v="44.5"/>
    <n v="51620"/>
  </r>
  <r>
    <x v="774"/>
    <s v="Los Angeles"/>
    <x v="1"/>
    <n v="8"/>
    <n v="30000"/>
    <n v="-59.299541971813497"/>
    <n v="-58.606331919930099"/>
    <n v="3000"/>
    <n v="356"/>
    <n v="145"/>
    <x v="4"/>
    <n v="44.5"/>
    <n v="51620"/>
  </r>
  <r>
    <x v="775"/>
    <s v="New York"/>
    <x v="0"/>
    <n v="15"/>
    <n v="32000"/>
    <n v="-155.87404640956399"/>
    <n v="-5.1030916648928297"/>
    <n v="2500"/>
    <n v="450"/>
    <n v="200"/>
    <x v="24"/>
    <n v="30"/>
    <n v="90000"/>
  </r>
  <r>
    <x v="776"/>
    <s v="Los Angeles"/>
    <x v="1"/>
    <n v="9"/>
    <n v="30000"/>
    <n v="171.12352805246499"/>
    <n v="-73.544041472915097"/>
    <n v="3500"/>
    <n v="356"/>
    <n v="200"/>
    <x v="4"/>
    <n v="39.555555555555557"/>
    <n v="71200"/>
  </r>
  <r>
    <x v="777"/>
    <s v="Miami"/>
    <x v="3"/>
    <n v="8"/>
    <n v="30000"/>
    <n v="114.110606617861"/>
    <n v="22.6227442070435"/>
    <n v="2615"/>
    <n v="374"/>
    <n v="121"/>
    <x v="14"/>
    <n v="46.75"/>
    <n v="45254"/>
  </r>
  <r>
    <x v="778"/>
    <s v="Chicago"/>
    <x v="3"/>
    <n v="9"/>
    <n v="30000"/>
    <n v="126.917071648549"/>
    <n v="9.0957025073206097"/>
    <n v="2678"/>
    <n v="374"/>
    <n v="116"/>
    <x v="6"/>
    <n v="41.555555555555557"/>
    <n v="43384"/>
  </r>
  <r>
    <x v="779"/>
    <s v="New York"/>
    <x v="0"/>
    <n v="7"/>
    <n v="35000"/>
    <n v="157.66748331620201"/>
    <n v="-16.6742056416902"/>
    <n v="2954"/>
    <n v="300"/>
    <n v="100"/>
    <x v="24"/>
    <n v="42.857142857142854"/>
    <n v="30000"/>
  </r>
  <r>
    <x v="780"/>
    <s v="Los Angeles"/>
    <x v="0"/>
    <n v="12"/>
    <n v="30000"/>
    <n v="-149.36274499687701"/>
    <n v="3.8478638652734101"/>
    <n v="2500"/>
    <n v="450"/>
    <n v="100"/>
    <x v="23"/>
    <n v="37.5"/>
    <n v="45000"/>
  </r>
  <r>
    <x v="781"/>
    <s v="New York"/>
    <x v="0"/>
    <n v="12"/>
    <n v="30000"/>
    <n v="-41.1848666952"/>
    <n v="71.383438524421805"/>
    <n v="2954"/>
    <n v="300"/>
    <n v="128"/>
    <x v="24"/>
    <n v="25"/>
    <n v="38400"/>
  </r>
  <r>
    <x v="782"/>
    <s v="New York"/>
    <x v="4"/>
    <n v="5"/>
    <n v="32000"/>
    <n v="-154.427439944159"/>
    <n v="-54.667025584007902"/>
    <n v="3000"/>
    <n v="600"/>
    <n v="200"/>
    <x v="20"/>
    <n v="120"/>
    <n v="120000"/>
  </r>
  <r>
    <x v="783"/>
    <s v="Chicago"/>
    <x v="1"/>
    <n v="9"/>
    <n v="30000"/>
    <n v="-104.11448344199"/>
    <n v="-85.9383878930375"/>
    <n v="2678"/>
    <n v="356"/>
    <n v="137"/>
    <x v="17"/>
    <n v="39.555555555555557"/>
    <n v="48772"/>
  </r>
  <r>
    <x v="784"/>
    <s v="Miami"/>
    <x v="0"/>
    <n v="15"/>
    <n v="32000"/>
    <n v="-97.428320266438007"/>
    <n v="65.099679245838203"/>
    <n v="3500"/>
    <n v="600"/>
    <n v="150"/>
    <x v="1"/>
    <n v="40"/>
    <n v="90000"/>
  </r>
  <r>
    <x v="785"/>
    <s v="New York"/>
    <x v="2"/>
    <n v="15"/>
    <n v="30000"/>
    <n v="-11.121404022871699"/>
    <n v="13.8810748298232"/>
    <n v="2847"/>
    <n v="600"/>
    <n v="150"/>
    <x v="13"/>
    <n v="40"/>
    <n v="90000"/>
  </r>
  <r>
    <x v="786"/>
    <s v="Los Angeles"/>
    <x v="2"/>
    <n v="5"/>
    <n v="30000"/>
    <n v="-83.317619716688696"/>
    <n v="70.318521983131603"/>
    <n v="3500"/>
    <n v="600"/>
    <n v="50"/>
    <x v="18"/>
    <n v="120"/>
    <n v="30000"/>
  </r>
  <r>
    <x v="787"/>
    <s v="Houston"/>
    <x v="3"/>
    <n v="8"/>
    <n v="30000"/>
    <n v="-143.647881545606"/>
    <n v="17.4501402143711"/>
    <n v="2846"/>
    <n v="374"/>
    <n v="138"/>
    <x v="8"/>
    <n v="46.75"/>
    <n v="51612"/>
  </r>
  <r>
    <x v="788"/>
    <s v="New York"/>
    <x v="1"/>
    <n v="7"/>
    <n v="35000"/>
    <n v="-119.703207926121"/>
    <n v="55.828996192746402"/>
    <n v="2800"/>
    <n v="450"/>
    <n v="120"/>
    <x v="15"/>
    <n v="64.285714285714292"/>
    <n v="54000"/>
  </r>
  <r>
    <x v="789"/>
    <s v="New York"/>
    <x v="0"/>
    <n v="9"/>
    <n v="30000"/>
    <n v="-126.98079712124699"/>
    <n v="-12.658794596073401"/>
    <n v="2954"/>
    <n v="397"/>
    <n v="128"/>
    <x v="24"/>
    <n v="44.111111111111114"/>
    <n v="50816"/>
  </r>
  <r>
    <x v="790"/>
    <s v="Chicago"/>
    <x v="2"/>
    <n v="12"/>
    <n v="30000"/>
    <n v="170.307647248427"/>
    <n v="44.974787631888397"/>
    <n v="3500"/>
    <n v="450"/>
    <n v="200"/>
    <x v="5"/>
    <n v="37.5"/>
    <n v="90000"/>
  </r>
  <r>
    <x v="791"/>
    <s v="Miami"/>
    <x v="1"/>
    <n v="12"/>
    <n v="35000"/>
    <n v="93.345302490650496"/>
    <n v="74.347464040174103"/>
    <n v="2931"/>
    <n v="450"/>
    <n v="105"/>
    <x v="3"/>
    <n v="37.5"/>
    <n v="47250"/>
  </r>
  <r>
    <x v="792"/>
    <s v="Houston"/>
    <x v="3"/>
    <n v="8"/>
    <n v="30000"/>
    <n v="168.39412749704201"/>
    <n v="12.9821334699971"/>
    <n v="2846"/>
    <n v="374"/>
    <n v="138"/>
    <x v="8"/>
    <n v="46.75"/>
    <n v="51612"/>
  </r>
  <r>
    <x v="793"/>
    <s v="Los Angeles"/>
    <x v="4"/>
    <n v="12"/>
    <n v="35000"/>
    <n v="-21.693424857152898"/>
    <n v="-57.458672898771702"/>
    <n v="3500"/>
    <n v="300"/>
    <n v="100"/>
    <x v="22"/>
    <n v="25"/>
    <n v="30000"/>
  </r>
  <r>
    <x v="794"/>
    <s v="Houston"/>
    <x v="1"/>
    <n v="7"/>
    <n v="35000"/>
    <n v="-79.787346601443602"/>
    <n v="-41.616429294564298"/>
    <n v="3000"/>
    <n v="450"/>
    <n v="127"/>
    <x v="12"/>
    <n v="64.285714285714292"/>
    <n v="57150"/>
  </r>
  <r>
    <x v="795"/>
    <s v="Los Angeles"/>
    <x v="1"/>
    <n v="9"/>
    <n v="30000"/>
    <n v="107.385550995307"/>
    <n v="-54.243976158466999"/>
    <n v="3000"/>
    <n v="356"/>
    <n v="100"/>
    <x v="4"/>
    <n v="39.555555555555557"/>
    <n v="35600"/>
  </r>
  <r>
    <x v="796"/>
    <s v="Miami"/>
    <x v="4"/>
    <n v="9"/>
    <n v="30000"/>
    <n v="-62.548589505187202"/>
    <n v="-45.565735032768103"/>
    <n v="2700"/>
    <n v="402"/>
    <n v="128"/>
    <x v="21"/>
    <n v="44.666666666666664"/>
    <n v="51456"/>
  </r>
  <r>
    <x v="797"/>
    <s v="Los Angeles"/>
    <x v="1"/>
    <n v="8"/>
    <n v="30000"/>
    <n v="-72.221985466074599"/>
    <n v="-34.845219116813503"/>
    <n v="3000"/>
    <n v="356"/>
    <n v="145"/>
    <x v="4"/>
    <n v="44.5"/>
    <n v="51620"/>
  </r>
  <r>
    <x v="798"/>
    <s v="Chicago"/>
    <x v="3"/>
    <n v="9"/>
    <n v="30000"/>
    <n v="-96.297842805180807"/>
    <n v="9.9240816155739306"/>
    <n v="2678"/>
    <n v="374"/>
    <n v="116"/>
    <x v="6"/>
    <n v="41.555555555555557"/>
    <n v="43384"/>
  </r>
  <r>
    <x v="799"/>
    <s v="Chicago"/>
    <x v="3"/>
    <n v="9"/>
    <n v="30000"/>
    <n v="-133.31556783927499"/>
    <n v="15.8384933034899"/>
    <n v="2678"/>
    <n v="374"/>
    <n v="116"/>
    <x v="6"/>
    <n v="41.555555555555557"/>
    <n v="43384"/>
  </r>
  <r>
    <x v="800"/>
    <s v="Chicago"/>
    <x v="4"/>
    <n v="10"/>
    <n v="30000"/>
    <n v="-87.673298033964201"/>
    <n v="-13.230045496464999"/>
    <n v="2636"/>
    <n v="402"/>
    <n v="114"/>
    <x v="9"/>
    <n v="40.200000000000003"/>
    <n v="45828"/>
  </r>
  <r>
    <x v="801"/>
    <s v="Chicago"/>
    <x v="0"/>
    <n v="8"/>
    <n v="30000"/>
    <n v="-52.084890549400399"/>
    <n v="20.775740367750402"/>
    <n v="2500"/>
    <n v="450"/>
    <n v="50"/>
    <x v="2"/>
    <n v="56.25"/>
    <n v="22500"/>
  </r>
  <r>
    <x v="802"/>
    <s v="Houston"/>
    <x v="2"/>
    <n v="9"/>
    <n v="30000"/>
    <n v="62.637914932462898"/>
    <n v="-75.316513389954096"/>
    <n v="2647"/>
    <n v="354"/>
    <n v="113"/>
    <x v="19"/>
    <n v="39.333333333333336"/>
    <n v="40002"/>
  </r>
  <r>
    <x v="803"/>
    <s v="Miami"/>
    <x v="0"/>
    <n v="12"/>
    <n v="35000"/>
    <n v="-157.47665680099701"/>
    <n v="-74.1981173295312"/>
    <n v="3000"/>
    <n v="450"/>
    <n v="150"/>
    <x v="1"/>
    <n v="37.5"/>
    <n v="67500"/>
  </r>
  <r>
    <x v="804"/>
    <s v="Los Angeles"/>
    <x v="1"/>
    <n v="5"/>
    <n v="30000"/>
    <n v="-104.217501720477"/>
    <n v="-59.070697135621501"/>
    <n v="3000"/>
    <n v="450"/>
    <n v="100"/>
    <x v="4"/>
    <n v="90"/>
    <n v="45000"/>
  </r>
  <r>
    <x v="805"/>
    <s v="Los Angeles"/>
    <x v="2"/>
    <n v="15"/>
    <n v="30000"/>
    <n v="111.248510505003"/>
    <n v="3.2539496472620599"/>
    <n v="2000"/>
    <n v="600"/>
    <n v="50"/>
    <x v="18"/>
    <n v="40"/>
    <n v="30000"/>
  </r>
  <r>
    <x v="806"/>
    <s v="Chicago"/>
    <x v="4"/>
    <n v="12"/>
    <n v="35000"/>
    <n v="-127.108107509842"/>
    <n v="-51.480957834303602"/>
    <n v="2000"/>
    <n v="600"/>
    <n v="150"/>
    <x v="9"/>
    <n v="50"/>
    <n v="90000"/>
  </r>
  <r>
    <x v="807"/>
    <s v="Chicago"/>
    <x v="4"/>
    <n v="9"/>
    <n v="30000"/>
    <n v="-56.647747251892199"/>
    <n v="-39.008807371336097"/>
    <n v="3500"/>
    <n v="450"/>
    <n v="200"/>
    <x v="9"/>
    <n v="50"/>
    <n v="90000"/>
  </r>
  <r>
    <x v="808"/>
    <s v="New York"/>
    <x v="2"/>
    <n v="15"/>
    <n v="32000"/>
    <n v="131.27721186893001"/>
    <n v="-17.9436894888611"/>
    <n v="2000"/>
    <n v="354"/>
    <n v="150"/>
    <x v="13"/>
    <n v="23.6"/>
    <n v="53100"/>
  </r>
  <r>
    <x v="809"/>
    <s v="Miami"/>
    <x v="3"/>
    <n v="12"/>
    <n v="30000"/>
    <n v="-124.226887988361"/>
    <n v="56.1359023218684"/>
    <n v="3500"/>
    <n v="600"/>
    <n v="121"/>
    <x v="14"/>
    <n v="50"/>
    <n v="72600"/>
  </r>
  <r>
    <x v="810"/>
    <s v="Houston"/>
    <x v="2"/>
    <n v="9"/>
    <n v="30000"/>
    <n v="-150.214739177452"/>
    <n v="-87.504815535685196"/>
    <n v="2647"/>
    <n v="354"/>
    <n v="113"/>
    <x v="19"/>
    <n v="39.333333333333336"/>
    <n v="40002"/>
  </r>
  <r>
    <x v="811"/>
    <s v="Los Angeles"/>
    <x v="1"/>
    <n v="8"/>
    <n v="30000"/>
    <n v="-5.5663217711961002"/>
    <n v="26.888187642592001"/>
    <n v="3000"/>
    <n v="356"/>
    <n v="145"/>
    <x v="4"/>
    <n v="44.5"/>
    <n v="51620"/>
  </r>
  <r>
    <x v="812"/>
    <s v="New York"/>
    <x v="3"/>
    <n v="9"/>
    <n v="35000"/>
    <n v="-71.128975939726899"/>
    <n v="30.397775587323402"/>
    <n v="3000"/>
    <n v="374"/>
    <n v="150"/>
    <x v="16"/>
    <n v="41.555555555555557"/>
    <n v="56100"/>
  </r>
  <r>
    <x v="813"/>
    <s v="New York"/>
    <x v="4"/>
    <n v="11"/>
    <n v="30000"/>
    <n v="22.8270112141875"/>
    <n v="53.7580404641946"/>
    <n v="2588"/>
    <n v="402"/>
    <n v="134"/>
    <x v="20"/>
    <n v="36.545454545454547"/>
    <n v="53868"/>
  </r>
  <r>
    <x v="814"/>
    <s v="Los Angeles"/>
    <x v="2"/>
    <n v="9"/>
    <n v="30000"/>
    <n v="109.369760574051"/>
    <n v="77.895529030856395"/>
    <n v="3000"/>
    <n v="450"/>
    <n v="50"/>
    <x v="18"/>
    <n v="50"/>
    <n v="22500"/>
  </r>
  <r>
    <x v="815"/>
    <s v="Houston"/>
    <x v="0"/>
    <n v="5"/>
    <n v="30000"/>
    <n v="-130.626544265013"/>
    <n v="-86.3751871891278"/>
    <n v="2550"/>
    <n v="450"/>
    <n v="150"/>
    <x v="0"/>
    <n v="90"/>
    <n v="67500"/>
  </r>
  <r>
    <x v="816"/>
    <s v="New York"/>
    <x v="0"/>
    <n v="9"/>
    <n v="30000"/>
    <n v="29.051670439542601"/>
    <n v="-62.318933007621098"/>
    <n v="2954"/>
    <n v="397"/>
    <n v="128"/>
    <x v="24"/>
    <n v="44.111111111111114"/>
    <n v="50816"/>
  </r>
  <r>
    <x v="817"/>
    <s v="New York"/>
    <x v="1"/>
    <n v="9"/>
    <n v="30000"/>
    <n v="1.98315374035101"/>
    <n v="69.510832930078706"/>
    <n v="3500"/>
    <n v="600"/>
    <n v="150"/>
    <x v="15"/>
    <n v="66.666666666666671"/>
    <n v="90000"/>
  </r>
  <r>
    <x v="818"/>
    <s v="Miami"/>
    <x v="0"/>
    <n v="9"/>
    <n v="30000"/>
    <n v="-128.13163703524799"/>
    <n v="-7.4666588063372403"/>
    <n v="2000"/>
    <n v="600"/>
    <n v="50"/>
    <x v="1"/>
    <n v="66.666666666666671"/>
    <n v="30000"/>
  </r>
  <r>
    <x v="819"/>
    <s v="Houston"/>
    <x v="2"/>
    <n v="5"/>
    <n v="32000"/>
    <n v="44.639454790433703"/>
    <n v="11.626315008023401"/>
    <n v="2647"/>
    <n v="600"/>
    <n v="150"/>
    <x v="19"/>
    <n v="120"/>
    <n v="90000"/>
  </r>
  <r>
    <x v="820"/>
    <s v="New York"/>
    <x v="2"/>
    <n v="9"/>
    <n v="30000"/>
    <n v="-81.489449570122204"/>
    <n v="29.344896670166499"/>
    <n v="2847"/>
    <n v="354"/>
    <n v="122"/>
    <x v="13"/>
    <n v="39.333333333333336"/>
    <n v="43188"/>
  </r>
  <r>
    <x v="821"/>
    <s v="Houston"/>
    <x v="0"/>
    <n v="15"/>
    <n v="35000"/>
    <n v="-4.37964532415549"/>
    <n v="32.231988809214698"/>
    <n v="2550"/>
    <n v="397"/>
    <n v="100"/>
    <x v="0"/>
    <n v="26.466666666666665"/>
    <n v="39700"/>
  </r>
  <r>
    <x v="822"/>
    <s v="Los Angeles"/>
    <x v="2"/>
    <n v="8"/>
    <n v="30000"/>
    <n v="-150.381963260258"/>
    <n v="77.713272596971507"/>
    <n v="2882"/>
    <n v="354"/>
    <n v="125"/>
    <x v="18"/>
    <n v="44.25"/>
    <n v="44250"/>
  </r>
  <r>
    <x v="823"/>
    <s v="Chicago"/>
    <x v="1"/>
    <n v="9"/>
    <n v="30000"/>
    <n v="-14.5497394030957"/>
    <n v="89.450895134100506"/>
    <n v="2678"/>
    <n v="356"/>
    <n v="137"/>
    <x v="17"/>
    <n v="39.555555555555557"/>
    <n v="48772"/>
  </r>
  <r>
    <x v="824"/>
    <s v="New York"/>
    <x v="3"/>
    <n v="9"/>
    <n v="30000"/>
    <n v="-69.673151504584695"/>
    <n v="39.628342967569203"/>
    <n v="2760"/>
    <n v="374"/>
    <n v="107"/>
    <x v="16"/>
    <n v="41.555555555555557"/>
    <n v="40018"/>
  </r>
  <r>
    <x v="825"/>
    <s v="Miami"/>
    <x v="1"/>
    <n v="7"/>
    <n v="35000"/>
    <n v="116.057236026727"/>
    <n v="-38.300182343072798"/>
    <n v="3000"/>
    <n v="150"/>
    <n v="200"/>
    <x v="3"/>
    <n v="21.428571428571427"/>
    <n v="30000"/>
  </r>
  <r>
    <x v="826"/>
    <s v="Los Angeles"/>
    <x v="1"/>
    <n v="8"/>
    <n v="30000"/>
    <n v="-159.48765828094699"/>
    <n v="68.355432412981898"/>
    <n v="3000"/>
    <n v="356"/>
    <n v="145"/>
    <x v="4"/>
    <n v="44.5"/>
    <n v="51620"/>
  </r>
  <r>
    <x v="827"/>
    <s v="Houston"/>
    <x v="2"/>
    <n v="9"/>
    <n v="30000"/>
    <n v="-29.301381029401199"/>
    <n v="-81.140235382662894"/>
    <n v="2647"/>
    <n v="354"/>
    <n v="113"/>
    <x v="19"/>
    <n v="39.333333333333336"/>
    <n v="40002"/>
  </r>
  <r>
    <x v="828"/>
    <s v="Los Angeles"/>
    <x v="3"/>
    <n v="8"/>
    <n v="32000"/>
    <n v="-14.964687312682299"/>
    <n v="-48.405446482590698"/>
    <n v="3000"/>
    <n v="450"/>
    <n v="200"/>
    <x v="10"/>
    <n v="56.25"/>
    <n v="90000"/>
  </r>
  <r>
    <x v="829"/>
    <s v="New York"/>
    <x v="2"/>
    <n v="9"/>
    <n v="30000"/>
    <n v="81.002187467682703"/>
    <n v="71.529429143468704"/>
    <n v="2847"/>
    <n v="354"/>
    <n v="122"/>
    <x v="13"/>
    <n v="39.333333333333336"/>
    <n v="43188"/>
  </r>
  <r>
    <x v="830"/>
    <s v="Houston"/>
    <x v="4"/>
    <n v="9"/>
    <n v="32000"/>
    <n v="26.7435270324759"/>
    <n v="-43.885527400916096"/>
    <n v="2500"/>
    <n v="402"/>
    <n v="111"/>
    <x v="11"/>
    <n v="44.666666666666664"/>
    <n v="44622"/>
  </r>
  <r>
    <x v="831"/>
    <s v="Chicago"/>
    <x v="2"/>
    <n v="9"/>
    <n v="35000"/>
    <n v="60.196441389905203"/>
    <n v="-50.282809268085302"/>
    <n v="3000"/>
    <n v="300"/>
    <n v="50"/>
    <x v="5"/>
    <n v="33.333333333333336"/>
    <n v="15000"/>
  </r>
  <r>
    <x v="832"/>
    <s v="Los Angeles"/>
    <x v="2"/>
    <n v="15"/>
    <n v="30000"/>
    <n v="99.737742834632201"/>
    <n v="-65.137447234755498"/>
    <n v="2000"/>
    <n v="300"/>
    <n v="200"/>
    <x v="18"/>
    <n v="20"/>
    <n v="60000"/>
  </r>
  <r>
    <x v="833"/>
    <s v="New York"/>
    <x v="2"/>
    <n v="5"/>
    <n v="30000"/>
    <n v="130.393070516948"/>
    <n v="64.640116376444993"/>
    <n v="2847"/>
    <n v="150"/>
    <n v="50"/>
    <x v="13"/>
    <n v="30"/>
    <n v="7500"/>
  </r>
  <r>
    <x v="834"/>
    <s v="Miami"/>
    <x v="3"/>
    <n v="9"/>
    <n v="30000"/>
    <n v="-67.004821179910607"/>
    <n v="1.04866543956064E-2"/>
    <n v="2500"/>
    <n v="450"/>
    <n v="150"/>
    <x v="14"/>
    <n v="50"/>
    <n v="67500"/>
  </r>
  <r>
    <x v="835"/>
    <s v="Houston"/>
    <x v="2"/>
    <n v="5"/>
    <n v="35000"/>
    <n v="13.688173931005"/>
    <n v="31.480776549747901"/>
    <n v="3500"/>
    <n v="150"/>
    <n v="100"/>
    <x v="19"/>
    <n v="30"/>
    <n v="15000"/>
  </r>
  <r>
    <x v="836"/>
    <s v="Los Angeles"/>
    <x v="3"/>
    <n v="8"/>
    <n v="30000"/>
    <n v="122.43890823811201"/>
    <n v="-46.9680508664947"/>
    <n v="2760"/>
    <n v="374"/>
    <n v="131"/>
    <x v="10"/>
    <n v="46.75"/>
    <n v="48994"/>
  </r>
  <r>
    <x v="837"/>
    <s v="Los Angeles"/>
    <x v="0"/>
    <n v="10"/>
    <n v="30000"/>
    <n v="176.20240714741999"/>
    <n v="46.447275782018998"/>
    <n v="2586"/>
    <n v="397"/>
    <n v="119"/>
    <x v="23"/>
    <n v="39.700000000000003"/>
    <n v="47243"/>
  </r>
  <r>
    <x v="838"/>
    <s v="Chicago"/>
    <x v="4"/>
    <n v="12"/>
    <n v="32000"/>
    <n v="140.22695197575499"/>
    <n v="46.800998093177697"/>
    <n v="2500"/>
    <n v="300"/>
    <n v="50"/>
    <x v="9"/>
    <n v="25"/>
    <n v="15000"/>
  </r>
  <r>
    <x v="839"/>
    <s v="Chicago"/>
    <x v="3"/>
    <n v="7"/>
    <n v="30000"/>
    <n v="-46.271785455224297"/>
    <n v="-33.732355516505997"/>
    <n v="3500"/>
    <n v="450"/>
    <n v="50"/>
    <x v="6"/>
    <n v="64.285714285714292"/>
    <n v="22500"/>
  </r>
  <r>
    <x v="840"/>
    <s v="Miami"/>
    <x v="0"/>
    <n v="7"/>
    <n v="30000"/>
    <n v="-109.740053801286"/>
    <n v="-16.077126058149101"/>
    <n v="3000"/>
    <n v="600"/>
    <n v="100"/>
    <x v="1"/>
    <n v="85.714285714285708"/>
    <n v="60000"/>
  </r>
  <r>
    <x v="841"/>
    <s v="Miami"/>
    <x v="3"/>
    <n v="8"/>
    <n v="30000"/>
    <n v="-3.8186865336280702"/>
    <n v="-52.255750062563799"/>
    <n v="2000"/>
    <n v="600"/>
    <n v="50"/>
    <x v="14"/>
    <n v="75"/>
    <n v="30000"/>
  </r>
  <r>
    <x v="842"/>
    <s v="New York"/>
    <x v="3"/>
    <n v="9"/>
    <n v="35000"/>
    <n v="86.990922660975201"/>
    <n v="85.780984198122795"/>
    <n v="3000"/>
    <n v="600"/>
    <n v="107"/>
    <x v="16"/>
    <n v="66.666666666666671"/>
    <n v="64200"/>
  </r>
  <r>
    <x v="843"/>
    <s v="New York"/>
    <x v="4"/>
    <n v="15"/>
    <n v="32000"/>
    <n v="-2.6751345288128601"/>
    <n v="26.208463870514102"/>
    <n v="2000"/>
    <n v="402"/>
    <n v="134"/>
    <x v="20"/>
    <n v="26.8"/>
    <n v="53868"/>
  </r>
  <r>
    <x v="844"/>
    <s v="Miami"/>
    <x v="1"/>
    <n v="9"/>
    <n v="30000"/>
    <n v="-6.0548892070793299"/>
    <n v="78.217898528792801"/>
    <n v="3000"/>
    <n v="300"/>
    <n v="50"/>
    <x v="3"/>
    <n v="33.333333333333336"/>
    <n v="15000"/>
  </r>
  <r>
    <x v="845"/>
    <s v="Miami"/>
    <x v="1"/>
    <n v="10"/>
    <n v="30000"/>
    <n v="121.76295158944799"/>
    <n v="-35.390602146756002"/>
    <n v="2931"/>
    <n v="356"/>
    <n v="105"/>
    <x v="3"/>
    <n v="35.6"/>
    <n v="37380"/>
  </r>
  <r>
    <x v="846"/>
    <s v="Houston"/>
    <x v="3"/>
    <n v="12"/>
    <n v="30000"/>
    <n v="-49.8946395358129"/>
    <n v="50.740364339440198"/>
    <n v="2500"/>
    <n v="374"/>
    <n v="200"/>
    <x v="8"/>
    <n v="31.166666666666668"/>
    <n v="74800"/>
  </r>
  <r>
    <x v="847"/>
    <s v="Chicago"/>
    <x v="2"/>
    <n v="15"/>
    <n v="32000"/>
    <n v="129.526082932192"/>
    <n v="47.854555899253597"/>
    <n v="2928"/>
    <n v="150"/>
    <n v="121"/>
    <x v="5"/>
    <n v="10"/>
    <n v="18150"/>
  </r>
  <r>
    <x v="848"/>
    <s v="New York"/>
    <x v="0"/>
    <n v="5"/>
    <n v="35000"/>
    <n v="-33.550271657379497"/>
    <n v="34.498017335977501"/>
    <n v="3500"/>
    <n v="600"/>
    <n v="50"/>
    <x v="24"/>
    <n v="120"/>
    <n v="30000"/>
  </r>
  <r>
    <x v="849"/>
    <s v="Chicago"/>
    <x v="2"/>
    <n v="10"/>
    <n v="30000"/>
    <n v="-61.836081955797802"/>
    <n v="83.815015548024107"/>
    <n v="2928"/>
    <n v="354"/>
    <n v="121"/>
    <x v="5"/>
    <n v="35.4"/>
    <n v="42834"/>
  </r>
  <r>
    <x v="850"/>
    <s v="Chicago"/>
    <x v="2"/>
    <n v="10"/>
    <n v="30000"/>
    <n v="-16.5636319681084"/>
    <n v="-19.160039500863199"/>
    <n v="3500"/>
    <n v="150"/>
    <n v="200"/>
    <x v="5"/>
    <n v="15"/>
    <n v="30000"/>
  </r>
  <r>
    <x v="851"/>
    <s v="Miami"/>
    <x v="3"/>
    <n v="7"/>
    <n v="32000"/>
    <n v="94.480905122952706"/>
    <n v="-66.470881753843699"/>
    <n v="2000"/>
    <n v="450"/>
    <n v="100"/>
    <x v="14"/>
    <n v="64.285714285714292"/>
    <n v="45000"/>
  </r>
  <r>
    <x v="852"/>
    <s v="Houston"/>
    <x v="3"/>
    <n v="8"/>
    <n v="30000"/>
    <n v="-134.639269968962"/>
    <n v="30.907594663930901"/>
    <n v="2846"/>
    <n v="374"/>
    <n v="138"/>
    <x v="8"/>
    <n v="46.75"/>
    <n v="51612"/>
  </r>
  <r>
    <x v="853"/>
    <s v="Los Angeles"/>
    <x v="3"/>
    <n v="9"/>
    <n v="30000"/>
    <n v="-109.28908228607401"/>
    <n v="41.275764085897102"/>
    <n v="3500"/>
    <n v="300"/>
    <n v="100"/>
    <x v="10"/>
    <n v="33.333333333333336"/>
    <n v="30000"/>
  </r>
  <r>
    <x v="854"/>
    <s v="Houston"/>
    <x v="3"/>
    <n v="12"/>
    <n v="30000"/>
    <n v="162.520137238713"/>
    <n v="13.510903222586601"/>
    <n v="2500"/>
    <n v="374"/>
    <n v="150"/>
    <x v="8"/>
    <n v="31.166666666666668"/>
    <n v="56100"/>
  </r>
  <r>
    <x v="855"/>
    <s v="Houston"/>
    <x v="1"/>
    <n v="12"/>
    <n v="35000"/>
    <n v="-116.823014142711"/>
    <n v="-52.7727792359887"/>
    <n v="3000"/>
    <n v="300"/>
    <n v="100"/>
    <x v="12"/>
    <n v="25"/>
    <n v="30000"/>
  </r>
  <r>
    <x v="856"/>
    <s v="Chicago"/>
    <x v="3"/>
    <n v="5"/>
    <n v="30000"/>
    <n v="24.3818344551796"/>
    <n v="0.80206950048396697"/>
    <n v="3500"/>
    <n v="450"/>
    <n v="50"/>
    <x v="6"/>
    <n v="90"/>
    <n v="22500"/>
  </r>
  <r>
    <x v="857"/>
    <s v="Houston"/>
    <x v="1"/>
    <n v="9"/>
    <n v="30000"/>
    <n v="28.553207998297601"/>
    <n v="-33.805847417556699"/>
    <n v="2500"/>
    <n v="150"/>
    <n v="50"/>
    <x v="12"/>
    <n v="16.666666666666668"/>
    <n v="7500"/>
  </r>
  <r>
    <x v="858"/>
    <s v="New York"/>
    <x v="1"/>
    <n v="7"/>
    <n v="32000"/>
    <n v="-3.73519366191187"/>
    <n v="-13.056024929995999"/>
    <n v="3500"/>
    <n v="300"/>
    <n v="150"/>
    <x v="15"/>
    <n v="42.857142857142854"/>
    <n v="45000"/>
  </r>
  <r>
    <x v="859"/>
    <s v="Chicago"/>
    <x v="3"/>
    <n v="9"/>
    <n v="30000"/>
    <n v="52.108289487654702"/>
    <n v="26.1393436520395"/>
    <n v="2678"/>
    <n v="374"/>
    <n v="116"/>
    <x v="6"/>
    <n v="41.555555555555557"/>
    <n v="43384"/>
  </r>
  <r>
    <x v="860"/>
    <s v="New York"/>
    <x v="4"/>
    <n v="12"/>
    <n v="30000"/>
    <n v="-97.262378712857398"/>
    <n v="44.138653684350203"/>
    <n v="2000"/>
    <n v="600"/>
    <n v="150"/>
    <x v="20"/>
    <n v="50"/>
    <n v="90000"/>
  </r>
  <r>
    <x v="861"/>
    <s v="Los Angeles"/>
    <x v="0"/>
    <n v="5"/>
    <n v="30000"/>
    <n v="18.9584163996294"/>
    <n v="-48.199555637758202"/>
    <n v="2000"/>
    <n v="150"/>
    <n v="150"/>
    <x v="23"/>
    <n v="30"/>
    <n v="22500"/>
  </r>
  <r>
    <x v="862"/>
    <s v="Chicago"/>
    <x v="2"/>
    <n v="15"/>
    <n v="35000"/>
    <n v="-46.017628111116998"/>
    <n v="-17.0414350835484"/>
    <n v="3500"/>
    <n v="450"/>
    <n v="50"/>
    <x v="5"/>
    <n v="30"/>
    <n v="22500"/>
  </r>
  <r>
    <x v="863"/>
    <s v="Los Angeles"/>
    <x v="1"/>
    <n v="7"/>
    <n v="30000"/>
    <n v="58.200213466508103"/>
    <n v="-41.550917221506701"/>
    <n v="2500"/>
    <n v="600"/>
    <n v="145"/>
    <x v="4"/>
    <n v="85.714285714285708"/>
    <n v="87000"/>
  </r>
  <r>
    <x v="864"/>
    <s v="Chicago"/>
    <x v="0"/>
    <n v="8"/>
    <n v="32000"/>
    <n v="-129.159524385666"/>
    <n v="-54.246309504863603"/>
    <n v="2583"/>
    <n v="600"/>
    <n v="150"/>
    <x v="2"/>
    <n v="75"/>
    <n v="90000"/>
  </r>
  <r>
    <x v="865"/>
    <s v="Miami"/>
    <x v="4"/>
    <n v="9"/>
    <n v="30000"/>
    <n v="25.515870062211398"/>
    <n v="51.009699599250901"/>
    <n v="2700"/>
    <n v="402"/>
    <n v="128"/>
    <x v="21"/>
    <n v="44.666666666666664"/>
    <n v="51456"/>
  </r>
  <r>
    <x v="866"/>
    <s v="Houston"/>
    <x v="2"/>
    <n v="9"/>
    <n v="30000"/>
    <n v="-113.302672062003"/>
    <n v="73.665484998658599"/>
    <n v="2647"/>
    <n v="354"/>
    <n v="113"/>
    <x v="19"/>
    <n v="39.333333333333336"/>
    <n v="40002"/>
  </r>
  <r>
    <x v="867"/>
    <s v="Miami"/>
    <x v="2"/>
    <n v="8"/>
    <n v="30000"/>
    <n v="-79.688497278586894"/>
    <n v="-23.358206576776201"/>
    <n v="2718"/>
    <n v="354"/>
    <n v="115"/>
    <x v="7"/>
    <n v="44.25"/>
    <n v="40710"/>
  </r>
  <r>
    <x v="868"/>
    <s v="Los Angeles"/>
    <x v="1"/>
    <n v="8"/>
    <n v="30000"/>
    <n v="-101.26447188351"/>
    <n v="45.230206387278002"/>
    <n v="3000"/>
    <n v="356"/>
    <n v="145"/>
    <x v="4"/>
    <n v="44.5"/>
    <n v="51620"/>
  </r>
  <r>
    <x v="869"/>
    <s v="Houston"/>
    <x v="3"/>
    <n v="7"/>
    <n v="30000"/>
    <n v="-114.178399247226"/>
    <n v="71.459152085593999"/>
    <n v="3500"/>
    <n v="450"/>
    <n v="200"/>
    <x v="8"/>
    <n v="64.285714285714292"/>
    <n v="90000"/>
  </r>
  <r>
    <x v="870"/>
    <s v="Chicago"/>
    <x v="4"/>
    <n v="15"/>
    <n v="30000"/>
    <n v="117.25594256184"/>
    <n v="62.302357895441702"/>
    <n v="2500"/>
    <n v="600"/>
    <n v="200"/>
    <x v="9"/>
    <n v="40"/>
    <n v="120000"/>
  </r>
  <r>
    <x v="871"/>
    <s v="Houston"/>
    <x v="1"/>
    <n v="12"/>
    <n v="30000"/>
    <n v="-77.145275642079497"/>
    <n v="-57.093590062939299"/>
    <n v="2500"/>
    <n v="356"/>
    <n v="127"/>
    <x v="12"/>
    <n v="29.666666666666668"/>
    <n v="45212"/>
  </r>
  <r>
    <x v="872"/>
    <s v="New York"/>
    <x v="4"/>
    <n v="11"/>
    <n v="30000"/>
    <n v="153.764561471202"/>
    <n v="82.132538672405005"/>
    <n v="2588"/>
    <n v="402"/>
    <n v="134"/>
    <x v="20"/>
    <n v="36.545454545454547"/>
    <n v="53868"/>
  </r>
  <r>
    <x v="873"/>
    <s v="Houston"/>
    <x v="3"/>
    <n v="8"/>
    <n v="32000"/>
    <n v="169.17354912426899"/>
    <n v="-22.198240722696699"/>
    <n v="3500"/>
    <n v="600"/>
    <n v="50"/>
    <x v="8"/>
    <n v="75"/>
    <n v="30000"/>
  </r>
  <r>
    <x v="874"/>
    <s v="New York"/>
    <x v="3"/>
    <n v="5"/>
    <n v="32000"/>
    <n v="25.653769177354999"/>
    <n v="-28.936680988709501"/>
    <n v="2500"/>
    <n v="450"/>
    <n v="100"/>
    <x v="16"/>
    <n v="90"/>
    <n v="45000"/>
  </r>
  <r>
    <x v="875"/>
    <s v="Houston"/>
    <x v="1"/>
    <n v="15"/>
    <n v="30000"/>
    <n v="-128.51959584033801"/>
    <n v="-78.762361089999501"/>
    <n v="2000"/>
    <n v="300"/>
    <n v="50"/>
    <x v="12"/>
    <n v="20"/>
    <n v="15000"/>
  </r>
  <r>
    <x v="876"/>
    <s v="New York"/>
    <x v="3"/>
    <n v="9"/>
    <n v="30000"/>
    <n v="-45.162632383350697"/>
    <n v="-2.4887422611210601"/>
    <n v="3500"/>
    <n v="300"/>
    <n v="100"/>
    <x v="16"/>
    <n v="33.333333333333336"/>
    <n v="30000"/>
  </r>
  <r>
    <x v="877"/>
    <s v="Los Angeles"/>
    <x v="0"/>
    <n v="12"/>
    <n v="30000"/>
    <n v="107.183614805357"/>
    <n v="-70.377549184632798"/>
    <n v="2000"/>
    <n v="600"/>
    <n v="100"/>
    <x v="23"/>
    <n v="50"/>
    <n v="60000"/>
  </r>
  <r>
    <x v="878"/>
    <s v="Miami"/>
    <x v="2"/>
    <n v="7"/>
    <n v="30000"/>
    <n v="-47.739337669054599"/>
    <n v="-45.2628322330633"/>
    <n v="3000"/>
    <n v="300"/>
    <n v="150"/>
    <x v="7"/>
    <n v="42.857142857142854"/>
    <n v="45000"/>
  </r>
  <r>
    <x v="879"/>
    <s v="Chicago"/>
    <x v="1"/>
    <n v="9"/>
    <n v="30000"/>
    <n v="-148.67380141099599"/>
    <n v="-32.950328081889403"/>
    <n v="2678"/>
    <n v="356"/>
    <n v="137"/>
    <x v="17"/>
    <n v="39.555555555555557"/>
    <n v="48772"/>
  </r>
  <r>
    <x v="880"/>
    <s v="Houston"/>
    <x v="4"/>
    <n v="9"/>
    <n v="35000"/>
    <n v="20.4425679341477"/>
    <n v="55.588738228503097"/>
    <n v="3000"/>
    <n v="402"/>
    <n v="50"/>
    <x v="11"/>
    <n v="44.666666666666664"/>
    <n v="20100"/>
  </r>
  <r>
    <x v="881"/>
    <s v="Miami"/>
    <x v="0"/>
    <n v="7"/>
    <n v="30000"/>
    <n v="124.243506538573"/>
    <n v="67.5879570712614"/>
    <n v="2500"/>
    <n v="600"/>
    <n v="126"/>
    <x v="1"/>
    <n v="85.714285714285708"/>
    <n v="75600"/>
  </r>
  <r>
    <x v="882"/>
    <s v="Chicago"/>
    <x v="1"/>
    <n v="7"/>
    <n v="30000"/>
    <n v="106.53349937166099"/>
    <n v="-35.556062856935398"/>
    <n v="2500"/>
    <n v="450"/>
    <n v="200"/>
    <x v="17"/>
    <n v="64.285714285714292"/>
    <n v="90000"/>
  </r>
  <r>
    <x v="883"/>
    <s v="Chicago"/>
    <x v="3"/>
    <n v="9"/>
    <n v="30000"/>
    <n v="-116.95566955307299"/>
    <n v="64.565661824023294"/>
    <n v="2678"/>
    <n v="374"/>
    <n v="116"/>
    <x v="6"/>
    <n v="41.555555555555557"/>
    <n v="43384"/>
  </r>
  <r>
    <x v="884"/>
    <s v="New York"/>
    <x v="3"/>
    <n v="9"/>
    <n v="30000"/>
    <n v="62.195261188487997"/>
    <n v="64.301568726562394"/>
    <n v="2760"/>
    <n v="374"/>
    <n v="107"/>
    <x v="16"/>
    <n v="41.555555555555557"/>
    <n v="40018"/>
  </r>
  <r>
    <x v="885"/>
    <s v="Los Angeles"/>
    <x v="3"/>
    <n v="8"/>
    <n v="32000"/>
    <n v="-100.618465163167"/>
    <n v="47.637171069277201"/>
    <n v="3000"/>
    <n v="150"/>
    <n v="200"/>
    <x v="10"/>
    <n v="18.75"/>
    <n v="30000"/>
  </r>
  <r>
    <x v="886"/>
    <s v="Los Angeles"/>
    <x v="3"/>
    <n v="5"/>
    <n v="32000"/>
    <n v="-101.445287561218"/>
    <n v="-63.594879477267298"/>
    <n v="2500"/>
    <n v="150"/>
    <n v="50"/>
    <x v="10"/>
    <n v="30"/>
    <n v="7500"/>
  </r>
  <r>
    <x v="887"/>
    <s v="Miami"/>
    <x v="4"/>
    <n v="15"/>
    <n v="30000"/>
    <n v="134.66583838986699"/>
    <n v="34.2581124421312"/>
    <n v="3500"/>
    <n v="300"/>
    <n v="200"/>
    <x v="21"/>
    <n v="20"/>
    <n v="60000"/>
  </r>
  <r>
    <x v="888"/>
    <s v="Los Angeles"/>
    <x v="0"/>
    <n v="12"/>
    <n v="30000"/>
    <n v="-90.119177013517103"/>
    <n v="80.104331624502393"/>
    <n v="2500"/>
    <n v="300"/>
    <n v="50"/>
    <x v="23"/>
    <n v="25"/>
    <n v="15000"/>
  </r>
  <r>
    <x v="889"/>
    <s v="Houston"/>
    <x v="2"/>
    <n v="9"/>
    <n v="35000"/>
    <n v="-85.230955253516001"/>
    <n v="32.857286178088302"/>
    <n v="2647"/>
    <n v="150"/>
    <n v="100"/>
    <x v="19"/>
    <n v="16.666666666666668"/>
    <n v="15000"/>
  </r>
  <r>
    <x v="890"/>
    <s v="Los Angeles"/>
    <x v="4"/>
    <n v="11"/>
    <n v="30000"/>
    <n v="-179.76477932593201"/>
    <n v="-30.308967160589901"/>
    <n v="2500"/>
    <n v="402"/>
    <n v="150"/>
    <x v="22"/>
    <n v="36.545454545454547"/>
    <n v="60300"/>
  </r>
  <r>
    <x v="891"/>
    <s v="Miami"/>
    <x v="4"/>
    <n v="9"/>
    <n v="32000"/>
    <n v="133.440852285186"/>
    <n v="0.10427713754963"/>
    <n v="3000"/>
    <n v="300"/>
    <n v="50"/>
    <x v="21"/>
    <n v="33.333333333333336"/>
    <n v="15000"/>
  </r>
  <r>
    <x v="892"/>
    <s v="Los Angeles"/>
    <x v="2"/>
    <n v="8"/>
    <n v="30000"/>
    <n v="105.334132755288"/>
    <n v="26.2305078031896"/>
    <n v="2882"/>
    <n v="354"/>
    <n v="125"/>
    <x v="18"/>
    <n v="44.25"/>
    <n v="44250"/>
  </r>
  <r>
    <x v="893"/>
    <s v="Houston"/>
    <x v="2"/>
    <n v="9"/>
    <n v="30000"/>
    <n v="45.838416632644098"/>
    <n v="1.9026735711306499"/>
    <n v="2647"/>
    <n v="354"/>
    <n v="113"/>
    <x v="19"/>
    <n v="39.333333333333336"/>
    <n v="40002"/>
  </r>
  <r>
    <x v="894"/>
    <s v="New York"/>
    <x v="3"/>
    <n v="9"/>
    <n v="30000"/>
    <n v="90.095675017983197"/>
    <n v="-68.408470488425394"/>
    <n v="2760"/>
    <n v="374"/>
    <n v="107"/>
    <x v="16"/>
    <n v="41.555555555555557"/>
    <n v="40018"/>
  </r>
  <r>
    <x v="895"/>
    <s v="Miami"/>
    <x v="4"/>
    <n v="9"/>
    <n v="30000"/>
    <n v="-125.262515727183"/>
    <n v="-33.8284719626363"/>
    <n v="2700"/>
    <n v="402"/>
    <n v="128"/>
    <x v="21"/>
    <n v="44.666666666666664"/>
    <n v="51456"/>
  </r>
  <r>
    <x v="896"/>
    <s v="New York"/>
    <x v="1"/>
    <n v="9"/>
    <n v="30000"/>
    <n v="-15.0035059484728"/>
    <n v="54.431285499653903"/>
    <n v="2800"/>
    <n v="356"/>
    <n v="120"/>
    <x v="15"/>
    <n v="39.555555555555557"/>
    <n v="42720"/>
  </r>
  <r>
    <x v="897"/>
    <s v="New York"/>
    <x v="2"/>
    <n v="7"/>
    <n v="32000"/>
    <n v="-53.561020554438898"/>
    <n v="65.055248297193103"/>
    <n v="3500"/>
    <n v="300"/>
    <n v="50"/>
    <x v="13"/>
    <n v="42.857142857142854"/>
    <n v="15000"/>
  </r>
  <r>
    <x v="898"/>
    <s v="New York"/>
    <x v="2"/>
    <n v="9"/>
    <n v="32000"/>
    <n v="-146.24045054747401"/>
    <n v="-65.285994111197397"/>
    <n v="2847"/>
    <n v="300"/>
    <n v="200"/>
    <x v="13"/>
    <n v="33.333333333333336"/>
    <n v="60000"/>
  </r>
  <r>
    <x v="899"/>
    <s v="Chicago"/>
    <x v="0"/>
    <n v="8"/>
    <n v="30000"/>
    <n v="-4.9930253226273198"/>
    <n v="81.429615431770401"/>
    <n v="2583"/>
    <n v="397"/>
    <n v="133"/>
    <x v="2"/>
    <n v="49.625"/>
    <n v="52801"/>
  </r>
  <r>
    <x v="900"/>
    <s v="Chicago"/>
    <x v="1"/>
    <n v="9"/>
    <n v="30000"/>
    <n v="151.466274123349"/>
    <n v="-30.811928787250299"/>
    <n v="2678"/>
    <n v="356"/>
    <n v="137"/>
    <x v="17"/>
    <n v="39.555555555555557"/>
    <n v="48772"/>
  </r>
  <r>
    <x v="901"/>
    <s v="New York"/>
    <x v="1"/>
    <n v="9"/>
    <n v="30000"/>
    <n v="-165.57871714174999"/>
    <n v="29.216472971529601"/>
    <n v="2800"/>
    <n v="356"/>
    <n v="120"/>
    <x v="15"/>
    <n v="39.555555555555557"/>
    <n v="42720"/>
  </r>
  <r>
    <x v="902"/>
    <s v="Miami"/>
    <x v="2"/>
    <n v="8"/>
    <n v="30000"/>
    <n v="-75.074071142234203"/>
    <n v="45.328526272202602"/>
    <n v="2718"/>
    <n v="354"/>
    <n v="115"/>
    <x v="7"/>
    <n v="44.25"/>
    <n v="40710"/>
  </r>
  <r>
    <x v="903"/>
    <s v="Houston"/>
    <x v="3"/>
    <n v="8"/>
    <n v="30000"/>
    <n v="-105.285262965947"/>
    <n v="56.150322234819001"/>
    <n v="2846"/>
    <n v="374"/>
    <n v="138"/>
    <x v="8"/>
    <n v="46.75"/>
    <n v="51612"/>
  </r>
  <r>
    <x v="904"/>
    <s v="Houston"/>
    <x v="0"/>
    <n v="10"/>
    <n v="30000"/>
    <n v="-94.267204680349295"/>
    <n v="80.234946400667397"/>
    <n v="2550"/>
    <n v="397"/>
    <n v="120"/>
    <x v="0"/>
    <n v="39.700000000000003"/>
    <n v="47640"/>
  </r>
  <r>
    <x v="905"/>
    <s v="Los Angeles"/>
    <x v="1"/>
    <n v="9"/>
    <n v="35000"/>
    <n v="147.03643867657499"/>
    <n v="-33.674481354811903"/>
    <n v="3500"/>
    <n v="300"/>
    <n v="145"/>
    <x v="4"/>
    <n v="33.333333333333336"/>
    <n v="43500"/>
  </r>
  <r>
    <x v="906"/>
    <s v="Miami"/>
    <x v="2"/>
    <n v="12"/>
    <n v="35000"/>
    <n v="-11.4951404756555"/>
    <n v="64.531161819279802"/>
    <n v="3000"/>
    <n v="300"/>
    <n v="200"/>
    <x v="7"/>
    <n v="25"/>
    <n v="60000"/>
  </r>
  <r>
    <x v="907"/>
    <s v="Chicago"/>
    <x v="1"/>
    <n v="9"/>
    <n v="30000"/>
    <n v="-12.132211341665201"/>
    <n v="-66.296357381482693"/>
    <n v="2678"/>
    <n v="356"/>
    <n v="137"/>
    <x v="17"/>
    <n v="39.555555555555557"/>
    <n v="48772"/>
  </r>
  <r>
    <x v="908"/>
    <s v="New York"/>
    <x v="0"/>
    <n v="5"/>
    <n v="30000"/>
    <n v="93.807231283901601"/>
    <n v="36.907363143646698"/>
    <n v="2500"/>
    <n v="450"/>
    <n v="200"/>
    <x v="24"/>
    <n v="90"/>
    <n v="90000"/>
  </r>
  <r>
    <x v="909"/>
    <s v="Los Angeles"/>
    <x v="0"/>
    <n v="10"/>
    <n v="30000"/>
    <n v="-124.382806558227"/>
    <n v="43.555991312517399"/>
    <n v="2000"/>
    <n v="600"/>
    <n v="100"/>
    <x v="23"/>
    <n v="60"/>
    <n v="60000"/>
  </r>
  <r>
    <x v="910"/>
    <s v="Houston"/>
    <x v="4"/>
    <n v="8"/>
    <n v="30000"/>
    <n v="-4.5844725239817299"/>
    <n v="31.990183416237699"/>
    <n v="2500"/>
    <n v="402"/>
    <n v="111"/>
    <x v="11"/>
    <n v="50.25"/>
    <n v="44622"/>
  </r>
  <r>
    <x v="911"/>
    <s v="Chicago"/>
    <x v="2"/>
    <n v="9"/>
    <n v="30000"/>
    <n v="-25.205322916418499"/>
    <n v="-44.583347495672498"/>
    <n v="2928"/>
    <n v="450"/>
    <n v="121"/>
    <x v="5"/>
    <n v="50"/>
    <n v="54450"/>
  </r>
  <r>
    <x v="912"/>
    <s v="Chicago"/>
    <x v="0"/>
    <n v="5"/>
    <n v="30000"/>
    <n v="34.887848596796204"/>
    <n v="67.147766462736598"/>
    <n v="3000"/>
    <n v="397"/>
    <n v="200"/>
    <x v="2"/>
    <n v="79.400000000000006"/>
    <n v="79400"/>
  </r>
  <r>
    <x v="913"/>
    <s v="New York"/>
    <x v="4"/>
    <n v="15"/>
    <n v="30000"/>
    <n v="179.840773170158"/>
    <n v="-59.605476593328902"/>
    <n v="2588"/>
    <n v="300"/>
    <n v="50"/>
    <x v="20"/>
    <n v="20"/>
    <n v="15000"/>
  </r>
  <r>
    <x v="914"/>
    <s v="Houston"/>
    <x v="4"/>
    <n v="8"/>
    <n v="30000"/>
    <n v="97.001601869536998"/>
    <n v="-80.345737526250403"/>
    <n v="2500"/>
    <n v="402"/>
    <n v="111"/>
    <x v="11"/>
    <n v="50.25"/>
    <n v="44622"/>
  </r>
  <r>
    <x v="915"/>
    <s v="Miami"/>
    <x v="1"/>
    <n v="10"/>
    <n v="30000"/>
    <n v="-36.768346913726198"/>
    <n v="39.143698310144202"/>
    <n v="3000"/>
    <n v="450"/>
    <n v="105"/>
    <x v="3"/>
    <n v="45"/>
    <n v="47250"/>
  </r>
  <r>
    <x v="916"/>
    <s v="Chicago"/>
    <x v="1"/>
    <n v="9"/>
    <n v="30000"/>
    <n v="117.91909881865701"/>
    <n v="-4.4143712581079297"/>
    <n v="2678"/>
    <n v="356"/>
    <n v="137"/>
    <x v="17"/>
    <n v="39.555555555555557"/>
    <n v="48772"/>
  </r>
  <r>
    <x v="917"/>
    <s v="New York"/>
    <x v="4"/>
    <n v="11"/>
    <n v="30000"/>
    <n v="-118.544989207507"/>
    <n v="62.837643592561697"/>
    <n v="2588"/>
    <n v="402"/>
    <n v="134"/>
    <x v="20"/>
    <n v="36.545454545454547"/>
    <n v="53868"/>
  </r>
  <r>
    <x v="918"/>
    <s v="Miami"/>
    <x v="1"/>
    <n v="10"/>
    <n v="30000"/>
    <n v="-169.033072928774"/>
    <n v="-20.988514609513398"/>
    <n v="2931"/>
    <n v="356"/>
    <n v="105"/>
    <x v="3"/>
    <n v="35.6"/>
    <n v="37380"/>
  </r>
  <r>
    <x v="919"/>
    <s v="Houston"/>
    <x v="0"/>
    <n v="12"/>
    <n v="32000"/>
    <n v="-106.398585912862"/>
    <n v="-59.709854068611698"/>
    <n v="2000"/>
    <n v="300"/>
    <n v="100"/>
    <x v="0"/>
    <n v="25"/>
    <n v="30000"/>
  </r>
  <r>
    <x v="920"/>
    <s v="Chicago"/>
    <x v="3"/>
    <n v="5"/>
    <n v="32000"/>
    <n v="-57.451839798866501"/>
    <n v="60.559594644576499"/>
    <n v="2678"/>
    <n v="150"/>
    <n v="50"/>
    <x v="6"/>
    <n v="30"/>
    <n v="7500"/>
  </r>
  <r>
    <x v="921"/>
    <s v="Miami"/>
    <x v="0"/>
    <n v="5"/>
    <n v="30000"/>
    <n v="3.8090726854415502"/>
    <n v="8.8037336952128999"/>
    <n v="3000"/>
    <n v="397"/>
    <n v="150"/>
    <x v="1"/>
    <n v="79.400000000000006"/>
    <n v="59550"/>
  </r>
  <r>
    <x v="922"/>
    <s v="Miami"/>
    <x v="4"/>
    <n v="9"/>
    <n v="30000"/>
    <n v="41.4464905948319"/>
    <n v="-55.944757369736102"/>
    <n v="2700"/>
    <n v="402"/>
    <n v="128"/>
    <x v="21"/>
    <n v="44.666666666666664"/>
    <n v="51456"/>
  </r>
  <r>
    <x v="923"/>
    <s v="Miami"/>
    <x v="4"/>
    <n v="9"/>
    <n v="30000"/>
    <n v="147.81805819719199"/>
    <n v="39.669119745560202"/>
    <n v="2700"/>
    <n v="402"/>
    <n v="128"/>
    <x v="21"/>
    <n v="44.666666666666664"/>
    <n v="51456"/>
  </r>
  <r>
    <x v="924"/>
    <s v="Chicago"/>
    <x v="0"/>
    <n v="8"/>
    <n v="30000"/>
    <n v="3.5474434381647799"/>
    <n v="2.0004549281100998"/>
    <n v="2583"/>
    <n v="397"/>
    <n v="133"/>
    <x v="2"/>
    <n v="49.625"/>
    <n v="52801"/>
  </r>
  <r>
    <x v="925"/>
    <s v="Chicago"/>
    <x v="1"/>
    <n v="9"/>
    <n v="30000"/>
    <n v="0.45923206526256899"/>
    <n v="18.7763368032576"/>
    <n v="2678"/>
    <n v="356"/>
    <n v="137"/>
    <x v="17"/>
    <n v="39.555555555555557"/>
    <n v="48772"/>
  </r>
  <r>
    <x v="926"/>
    <s v="Los Angeles"/>
    <x v="1"/>
    <n v="9"/>
    <n v="35000"/>
    <n v="-161.91251646372601"/>
    <n v="-7.0382991228152596"/>
    <n v="3000"/>
    <n v="150"/>
    <n v="50"/>
    <x v="4"/>
    <n v="16.666666666666668"/>
    <n v="7500"/>
  </r>
  <r>
    <x v="927"/>
    <s v="Houston"/>
    <x v="4"/>
    <n v="5"/>
    <n v="30000"/>
    <n v="-167.43184104375899"/>
    <n v="59.167617087241098"/>
    <n v="3000"/>
    <n v="450"/>
    <n v="150"/>
    <x v="11"/>
    <n v="90"/>
    <n v="67500"/>
  </r>
  <r>
    <x v="928"/>
    <s v="New York"/>
    <x v="2"/>
    <n v="9"/>
    <n v="30000"/>
    <n v="18.417586289893901"/>
    <n v="59.321288822949001"/>
    <n v="2000"/>
    <n v="450"/>
    <n v="122"/>
    <x v="13"/>
    <n v="50"/>
    <n v="54900"/>
  </r>
  <r>
    <x v="929"/>
    <s v="Miami"/>
    <x v="1"/>
    <n v="9"/>
    <n v="30000"/>
    <n v="-22.255699230596001"/>
    <n v="37.689987928389499"/>
    <n v="3500"/>
    <n v="300"/>
    <n v="105"/>
    <x v="3"/>
    <n v="33.333333333333336"/>
    <n v="31500"/>
  </r>
  <r>
    <x v="930"/>
    <s v="Los Angeles"/>
    <x v="0"/>
    <n v="9"/>
    <n v="32000"/>
    <n v="122.104942192908"/>
    <n v="-71.027752068636801"/>
    <n v="2000"/>
    <n v="600"/>
    <n v="50"/>
    <x v="23"/>
    <n v="66.666666666666671"/>
    <n v="30000"/>
  </r>
  <r>
    <x v="931"/>
    <s v="New York"/>
    <x v="1"/>
    <n v="9"/>
    <n v="30000"/>
    <n v="-122.15534950373601"/>
    <n v="60.993695142732399"/>
    <n v="3000"/>
    <n v="450"/>
    <n v="150"/>
    <x v="15"/>
    <n v="50"/>
    <n v="67500"/>
  </r>
  <r>
    <x v="932"/>
    <s v="Los Angeles"/>
    <x v="0"/>
    <n v="9"/>
    <n v="35000"/>
    <n v="-171.010201637862"/>
    <n v="30.782336495923801"/>
    <n v="2000"/>
    <n v="450"/>
    <n v="150"/>
    <x v="23"/>
    <n v="50"/>
    <n v="67500"/>
  </r>
  <r>
    <x v="933"/>
    <s v="Chicago"/>
    <x v="4"/>
    <n v="7"/>
    <n v="32000"/>
    <n v="-18.3460435451547"/>
    <n v="35.464349880773902"/>
    <n v="2000"/>
    <n v="600"/>
    <n v="50"/>
    <x v="9"/>
    <n v="85.714285714285708"/>
    <n v="30000"/>
  </r>
  <r>
    <x v="934"/>
    <s v="Miami"/>
    <x v="1"/>
    <n v="10"/>
    <n v="30000"/>
    <n v="-94.507719569187302"/>
    <n v="-24.663088727303101"/>
    <n v="2931"/>
    <n v="356"/>
    <n v="105"/>
    <x v="3"/>
    <n v="35.6"/>
    <n v="37380"/>
  </r>
  <r>
    <x v="935"/>
    <s v="New York"/>
    <x v="0"/>
    <n v="9"/>
    <n v="30000"/>
    <n v="-162.138825598019"/>
    <n v="68.270320108261203"/>
    <n v="2954"/>
    <n v="397"/>
    <n v="128"/>
    <x v="24"/>
    <n v="44.111111111111114"/>
    <n v="50816"/>
  </r>
  <r>
    <x v="936"/>
    <s v="New York"/>
    <x v="4"/>
    <n v="11"/>
    <n v="30000"/>
    <n v="80.855383265146401"/>
    <n v="40.5668880422743"/>
    <n v="2588"/>
    <n v="402"/>
    <n v="134"/>
    <x v="20"/>
    <n v="36.545454545454547"/>
    <n v="53868"/>
  </r>
  <r>
    <x v="937"/>
    <s v="New York"/>
    <x v="2"/>
    <n v="12"/>
    <n v="35000"/>
    <n v="-139.826520015391"/>
    <n v="-69.733716024744993"/>
    <n v="3500"/>
    <n v="300"/>
    <n v="50"/>
    <x v="13"/>
    <n v="25"/>
    <n v="15000"/>
  </r>
  <r>
    <x v="938"/>
    <s v="New York"/>
    <x v="0"/>
    <n v="9"/>
    <n v="30000"/>
    <n v="38.995020002797801"/>
    <n v="-16.599953806890699"/>
    <n v="2954"/>
    <n v="397"/>
    <n v="128"/>
    <x v="24"/>
    <n v="44.111111111111114"/>
    <n v="50816"/>
  </r>
  <r>
    <x v="939"/>
    <s v="New York"/>
    <x v="2"/>
    <n v="9"/>
    <n v="30000"/>
    <n v="-78.822089939919906"/>
    <n v="69.5484651528255"/>
    <n v="2847"/>
    <n v="354"/>
    <n v="122"/>
    <x v="13"/>
    <n v="39.333333333333336"/>
    <n v="43188"/>
  </r>
  <r>
    <x v="940"/>
    <s v="Los Angeles"/>
    <x v="2"/>
    <n v="9"/>
    <n v="32000"/>
    <n v="-117.541421872192"/>
    <n v="-81.504593694471794"/>
    <n v="3500"/>
    <n v="354"/>
    <n v="50"/>
    <x v="18"/>
    <n v="39.333333333333336"/>
    <n v="17700"/>
  </r>
  <r>
    <x v="941"/>
    <s v="Miami"/>
    <x v="3"/>
    <n v="8"/>
    <n v="30000"/>
    <n v="-43.289451749045703"/>
    <n v="83.054991535568902"/>
    <n v="2615"/>
    <n v="374"/>
    <n v="121"/>
    <x v="14"/>
    <n v="46.75"/>
    <n v="45254"/>
  </r>
  <r>
    <x v="942"/>
    <s v="Chicago"/>
    <x v="1"/>
    <n v="9"/>
    <n v="30000"/>
    <n v="108.520479440263"/>
    <n v="32.249262297521298"/>
    <n v="2678"/>
    <n v="356"/>
    <n v="137"/>
    <x v="17"/>
    <n v="39.555555555555557"/>
    <n v="48772"/>
  </r>
  <r>
    <x v="943"/>
    <s v="Chicago"/>
    <x v="0"/>
    <n v="8"/>
    <n v="35000"/>
    <n v="-38.846312314353803"/>
    <n v="23.6476759758078"/>
    <n v="2500"/>
    <n v="450"/>
    <n v="133"/>
    <x v="2"/>
    <n v="56.25"/>
    <n v="59850"/>
  </r>
  <r>
    <x v="944"/>
    <s v="Chicago"/>
    <x v="2"/>
    <n v="9"/>
    <n v="30000"/>
    <n v="90.277073715980094"/>
    <n v="-41.299333832161601"/>
    <n v="3000"/>
    <n v="300"/>
    <n v="150"/>
    <x v="5"/>
    <n v="33.333333333333336"/>
    <n v="45000"/>
  </r>
  <r>
    <x v="945"/>
    <s v="Chicago"/>
    <x v="3"/>
    <n v="12"/>
    <n v="30000"/>
    <n v="-134.82493315230599"/>
    <n v="-45.2174780269481"/>
    <n v="3000"/>
    <n v="600"/>
    <n v="100"/>
    <x v="6"/>
    <n v="50"/>
    <n v="60000"/>
  </r>
  <r>
    <x v="946"/>
    <s v="Los Angeles"/>
    <x v="4"/>
    <n v="11"/>
    <n v="30000"/>
    <n v="98.197711079428501"/>
    <n v="79.570479507947198"/>
    <n v="2794"/>
    <n v="402"/>
    <n v="113"/>
    <x v="22"/>
    <n v="36.545454545454547"/>
    <n v="45426"/>
  </r>
  <r>
    <x v="947"/>
    <s v="Houston"/>
    <x v="0"/>
    <n v="10"/>
    <n v="30000"/>
    <n v="-94.704003033606497"/>
    <n v="-36.310958237857903"/>
    <n v="2550"/>
    <n v="397"/>
    <n v="120"/>
    <x v="0"/>
    <n v="39.700000000000003"/>
    <n v="47640"/>
  </r>
  <r>
    <x v="948"/>
    <s v="Miami"/>
    <x v="2"/>
    <n v="8"/>
    <n v="30000"/>
    <n v="63.861526759994199"/>
    <n v="49.590953409419903"/>
    <n v="2718"/>
    <n v="354"/>
    <n v="115"/>
    <x v="7"/>
    <n v="44.25"/>
    <n v="40710"/>
  </r>
  <r>
    <x v="949"/>
    <s v="New York"/>
    <x v="1"/>
    <n v="9"/>
    <n v="30000"/>
    <n v="23.681359742758701"/>
    <n v="-19.238076322725799"/>
    <n v="2800"/>
    <n v="356"/>
    <n v="120"/>
    <x v="15"/>
    <n v="39.555555555555557"/>
    <n v="42720"/>
  </r>
  <r>
    <x v="950"/>
    <s v="Houston"/>
    <x v="3"/>
    <n v="8"/>
    <n v="30000"/>
    <n v="154.49209819620799"/>
    <n v="-64.934267258753295"/>
    <n v="2846"/>
    <n v="374"/>
    <n v="138"/>
    <x v="8"/>
    <n v="46.75"/>
    <n v="51612"/>
  </r>
  <r>
    <x v="951"/>
    <s v="Chicago"/>
    <x v="2"/>
    <n v="10"/>
    <n v="35000"/>
    <n v="-40.563893528887"/>
    <n v="-88.0712464148354"/>
    <n v="3500"/>
    <n v="300"/>
    <n v="200"/>
    <x v="5"/>
    <n v="30"/>
    <n v="60000"/>
  </r>
  <r>
    <x v="952"/>
    <s v="Houston"/>
    <x v="1"/>
    <n v="5"/>
    <n v="30000"/>
    <n v="-156.180532019601"/>
    <n v="7.9663206627451499"/>
    <n v="2500"/>
    <n v="150"/>
    <n v="200"/>
    <x v="12"/>
    <n v="30"/>
    <n v="30000"/>
  </r>
  <r>
    <x v="953"/>
    <s v="Miami"/>
    <x v="2"/>
    <n v="9"/>
    <n v="30000"/>
    <n v="-173.10402520154901"/>
    <n v="85.640187338807905"/>
    <n v="2000"/>
    <n v="300"/>
    <n v="115"/>
    <x v="7"/>
    <n v="33.333333333333336"/>
    <n v="34500"/>
  </r>
  <r>
    <x v="954"/>
    <s v="New York"/>
    <x v="0"/>
    <n v="9"/>
    <n v="32000"/>
    <n v="117.669081950191"/>
    <n v="-23.555485114343199"/>
    <n v="2000"/>
    <n v="397"/>
    <n v="100"/>
    <x v="24"/>
    <n v="44.111111111111114"/>
    <n v="39700"/>
  </r>
  <r>
    <x v="955"/>
    <s v="New York"/>
    <x v="0"/>
    <n v="9"/>
    <n v="30000"/>
    <n v="8.9048295581155799"/>
    <n v="-25.705379881251901"/>
    <n v="2954"/>
    <n v="150"/>
    <n v="128"/>
    <x v="24"/>
    <n v="16.666666666666668"/>
    <n v="19200"/>
  </r>
  <r>
    <x v="956"/>
    <s v="Miami"/>
    <x v="0"/>
    <n v="9"/>
    <n v="30000"/>
    <n v="99.087858660581702"/>
    <n v="-28.0635087871004"/>
    <n v="2729"/>
    <n v="300"/>
    <n v="50"/>
    <x v="1"/>
    <n v="33.333333333333336"/>
    <n v="15000"/>
  </r>
  <r>
    <x v="957"/>
    <s v="Miami"/>
    <x v="3"/>
    <n v="7"/>
    <n v="30000"/>
    <n v="-95.606783995854698"/>
    <n v="3.6978907148745201"/>
    <n v="3500"/>
    <n v="300"/>
    <n v="200"/>
    <x v="14"/>
    <n v="42.857142857142854"/>
    <n v="60000"/>
  </r>
  <r>
    <x v="958"/>
    <s v="Chicago"/>
    <x v="0"/>
    <n v="9"/>
    <n v="35000"/>
    <n v="-55.769851615235901"/>
    <n v="-10.6803209836271"/>
    <n v="2583"/>
    <n v="600"/>
    <n v="50"/>
    <x v="2"/>
    <n v="66.666666666666671"/>
    <n v="30000"/>
  </r>
  <r>
    <x v="959"/>
    <s v="New York"/>
    <x v="1"/>
    <n v="9"/>
    <n v="30000"/>
    <n v="-169.16260600392499"/>
    <n v="68.384632810862598"/>
    <n v="2800"/>
    <n v="356"/>
    <n v="120"/>
    <x v="15"/>
    <n v="39.555555555555557"/>
    <n v="42720"/>
  </r>
  <r>
    <x v="960"/>
    <s v="Houston"/>
    <x v="2"/>
    <n v="12"/>
    <n v="30000"/>
    <n v="166.13723684668"/>
    <n v="0.99374251022825899"/>
    <n v="2000"/>
    <n v="600"/>
    <n v="100"/>
    <x v="19"/>
    <n v="50"/>
    <n v="60000"/>
  </r>
  <r>
    <x v="961"/>
    <s v="Los Angeles"/>
    <x v="4"/>
    <n v="12"/>
    <n v="30000"/>
    <n v="60.432446412292798"/>
    <n v="1.3964108739423899"/>
    <n v="2000"/>
    <n v="150"/>
    <n v="50"/>
    <x v="22"/>
    <n v="12.5"/>
    <n v="7500"/>
  </r>
  <r>
    <x v="962"/>
    <s v="Los Angeles"/>
    <x v="1"/>
    <n v="15"/>
    <n v="35000"/>
    <n v="155.95383159335"/>
    <n v="-65.093112950299798"/>
    <n v="3000"/>
    <n v="600"/>
    <n v="200"/>
    <x v="4"/>
    <n v="40"/>
    <n v="120000"/>
  </r>
  <r>
    <x v="963"/>
    <s v="Miami"/>
    <x v="1"/>
    <n v="10"/>
    <n v="30000"/>
    <n v="-84.421293325533995"/>
    <n v="86.893117363869493"/>
    <n v="2931"/>
    <n v="356"/>
    <n v="105"/>
    <x v="3"/>
    <n v="35.6"/>
    <n v="37380"/>
  </r>
  <r>
    <x v="964"/>
    <s v="Chicago"/>
    <x v="0"/>
    <n v="5"/>
    <n v="35000"/>
    <n v="40.126900041237903"/>
    <n v="-45.0048796436107"/>
    <n v="3000"/>
    <n v="450"/>
    <n v="200"/>
    <x v="2"/>
    <n v="90"/>
    <n v="90000"/>
  </r>
  <r>
    <x v="965"/>
    <s v="Los Angeles"/>
    <x v="3"/>
    <n v="9"/>
    <n v="35000"/>
    <n v="64.259988585349603"/>
    <n v="-76.794467857271499"/>
    <n v="2760"/>
    <n v="450"/>
    <n v="100"/>
    <x v="10"/>
    <n v="50"/>
    <n v="45000"/>
  </r>
  <r>
    <x v="966"/>
    <s v="New York"/>
    <x v="2"/>
    <n v="12"/>
    <n v="30000"/>
    <n v="-65.682107907268204"/>
    <n v="29.366324815537599"/>
    <n v="2500"/>
    <n v="150"/>
    <n v="200"/>
    <x v="13"/>
    <n v="12.5"/>
    <n v="30000"/>
  </r>
  <r>
    <x v="967"/>
    <s v="Miami"/>
    <x v="3"/>
    <n v="5"/>
    <n v="30000"/>
    <n v="125.319324605627"/>
    <n v="17.165946628237101"/>
    <n v="3000"/>
    <n v="450"/>
    <n v="150"/>
    <x v="14"/>
    <n v="90"/>
    <n v="67500"/>
  </r>
  <r>
    <x v="968"/>
    <s v="Houston"/>
    <x v="2"/>
    <n v="12"/>
    <n v="35000"/>
    <n v="160.978126644089"/>
    <n v="-15.273782281305801"/>
    <n v="2647"/>
    <n v="600"/>
    <n v="113"/>
    <x v="19"/>
    <n v="50"/>
    <n v="67800"/>
  </r>
  <r>
    <x v="969"/>
    <s v="Miami"/>
    <x v="2"/>
    <n v="9"/>
    <n v="30000"/>
    <n v="138.54784237056199"/>
    <n v="-14.005397901478"/>
    <n v="2500"/>
    <n v="150"/>
    <n v="150"/>
    <x v="7"/>
    <n v="16.666666666666668"/>
    <n v="22500"/>
  </r>
  <r>
    <x v="970"/>
    <s v="Houston"/>
    <x v="3"/>
    <n v="12"/>
    <n v="30000"/>
    <n v="86.064111338174101"/>
    <n v="51.3115057883576"/>
    <n v="2500"/>
    <n v="374"/>
    <n v="150"/>
    <x v="8"/>
    <n v="31.166666666666668"/>
    <n v="56100"/>
  </r>
  <r>
    <x v="971"/>
    <s v="Miami"/>
    <x v="1"/>
    <n v="10"/>
    <n v="35000"/>
    <n v="-80.1127152990165"/>
    <n v="-54.771724782063202"/>
    <n v="3500"/>
    <n v="150"/>
    <n v="100"/>
    <x v="3"/>
    <n v="15"/>
    <n v="15000"/>
  </r>
  <r>
    <x v="972"/>
    <s v="Miami"/>
    <x v="2"/>
    <n v="8"/>
    <n v="30000"/>
    <n v="-78.618224841972605"/>
    <n v="57.6455974100801"/>
    <n v="2500"/>
    <n v="150"/>
    <n v="50"/>
    <x v="7"/>
    <n v="18.75"/>
    <n v="7500"/>
  </r>
  <r>
    <x v="973"/>
    <s v="Miami"/>
    <x v="3"/>
    <n v="8"/>
    <n v="30000"/>
    <n v="166.80971536057399"/>
    <n v="26.774480501103302"/>
    <n v="2615"/>
    <n v="374"/>
    <n v="121"/>
    <x v="14"/>
    <n v="46.75"/>
    <n v="45254"/>
  </r>
  <r>
    <x v="974"/>
    <s v="Houston"/>
    <x v="2"/>
    <n v="9"/>
    <n v="30000"/>
    <n v="-176.297581463151"/>
    <n v="-14.5854407196856"/>
    <n v="2647"/>
    <n v="354"/>
    <n v="113"/>
    <x v="19"/>
    <n v="39.333333333333336"/>
    <n v="40002"/>
  </r>
  <r>
    <x v="975"/>
    <s v="Houston"/>
    <x v="4"/>
    <n v="8"/>
    <n v="30000"/>
    <n v="77.777990367171995"/>
    <n v="-7.5548490149036498"/>
    <n v="2500"/>
    <n v="402"/>
    <n v="111"/>
    <x v="11"/>
    <n v="50.25"/>
    <n v="44622"/>
  </r>
  <r>
    <x v="976"/>
    <s v="Miami"/>
    <x v="1"/>
    <n v="5"/>
    <n v="32000"/>
    <n v="74.248618519894407"/>
    <n v="-43.803502706502698"/>
    <n v="2931"/>
    <n v="450"/>
    <n v="200"/>
    <x v="3"/>
    <n v="90"/>
    <n v="90000"/>
  </r>
  <r>
    <x v="977"/>
    <s v="Los Angeles"/>
    <x v="0"/>
    <n v="10"/>
    <n v="30000"/>
    <n v="44.168234741927101"/>
    <n v="45.380579885455496"/>
    <n v="2586"/>
    <n v="397"/>
    <n v="119"/>
    <x v="23"/>
    <n v="39.700000000000003"/>
    <n v="47243"/>
  </r>
  <r>
    <x v="978"/>
    <s v="Chicago"/>
    <x v="2"/>
    <n v="10"/>
    <n v="30000"/>
    <n v="176.43918459127201"/>
    <n v="2.3174536149481901"/>
    <n v="2928"/>
    <n v="354"/>
    <n v="121"/>
    <x v="5"/>
    <n v="35.4"/>
    <n v="42834"/>
  </r>
  <r>
    <x v="979"/>
    <s v="Chicago"/>
    <x v="4"/>
    <n v="5"/>
    <n v="30000"/>
    <n v="-67.723403125058894"/>
    <n v="-32.246182305028199"/>
    <n v="3500"/>
    <n v="600"/>
    <n v="50"/>
    <x v="9"/>
    <n v="120"/>
    <n v="30000"/>
  </r>
  <r>
    <x v="980"/>
    <s v="Chicago"/>
    <x v="0"/>
    <n v="12"/>
    <n v="35000"/>
    <n v="-57.610129034430699"/>
    <n v="17.289020836971101"/>
    <n v="2000"/>
    <n v="300"/>
    <n v="200"/>
    <x v="2"/>
    <n v="25"/>
    <n v="60000"/>
  </r>
  <r>
    <x v="981"/>
    <s v="Houston"/>
    <x v="0"/>
    <n v="5"/>
    <n v="30000"/>
    <n v="-151.58181493923999"/>
    <n v="89.232201369238098"/>
    <n v="2500"/>
    <n v="150"/>
    <n v="100"/>
    <x v="0"/>
    <n v="30"/>
    <n v="15000"/>
  </r>
  <r>
    <x v="982"/>
    <s v="Houston"/>
    <x v="2"/>
    <n v="9"/>
    <n v="30000"/>
    <n v="-20.592670844254499"/>
    <n v="-11.6527896618203"/>
    <n v="2500"/>
    <n v="450"/>
    <n v="113"/>
    <x v="19"/>
    <n v="50"/>
    <n v="50850"/>
  </r>
  <r>
    <x v="983"/>
    <s v="Los Angeles"/>
    <x v="3"/>
    <n v="9"/>
    <n v="30000"/>
    <n v="-86.022530555454694"/>
    <n v="75.724452140151499"/>
    <n v="2000"/>
    <n v="600"/>
    <n v="131"/>
    <x v="10"/>
    <n v="66.666666666666671"/>
    <n v="78600"/>
  </r>
  <r>
    <x v="984"/>
    <s v="Chicago"/>
    <x v="2"/>
    <n v="15"/>
    <n v="32000"/>
    <n v="-56.380787216048098"/>
    <n v="-27.896968813578098"/>
    <n v="3500"/>
    <n v="300"/>
    <n v="100"/>
    <x v="5"/>
    <n v="20"/>
    <n v="30000"/>
  </r>
  <r>
    <x v="985"/>
    <s v="Chicago"/>
    <x v="4"/>
    <n v="10"/>
    <n v="30000"/>
    <n v="120.445844492026"/>
    <n v="-80.148112753502502"/>
    <n v="2636"/>
    <n v="402"/>
    <n v="114"/>
    <x v="9"/>
    <n v="40.200000000000003"/>
    <n v="45828"/>
  </r>
  <r>
    <x v="986"/>
    <s v="Miami"/>
    <x v="0"/>
    <n v="9"/>
    <n v="30000"/>
    <n v="156.77442486989801"/>
    <n v="-53.236420853682802"/>
    <n v="2729"/>
    <n v="397"/>
    <n v="126"/>
    <x v="1"/>
    <n v="44.111111111111114"/>
    <n v="50022"/>
  </r>
  <r>
    <x v="987"/>
    <s v="Houston"/>
    <x v="2"/>
    <n v="9"/>
    <n v="30000"/>
    <n v="-113.136094078133"/>
    <n v="-14.6348742010168"/>
    <n v="3000"/>
    <n v="450"/>
    <n v="113"/>
    <x v="19"/>
    <n v="50"/>
    <n v="50850"/>
  </r>
  <r>
    <x v="988"/>
    <s v="Chicago"/>
    <x v="3"/>
    <n v="9"/>
    <n v="35000"/>
    <n v="-45.896784640752301"/>
    <n v="-50.465712852977603"/>
    <n v="2678"/>
    <n v="150"/>
    <n v="200"/>
    <x v="6"/>
    <n v="16.666666666666668"/>
    <n v="30000"/>
  </r>
  <r>
    <x v="989"/>
    <s v="Los Angeles"/>
    <x v="2"/>
    <n v="8"/>
    <n v="30000"/>
    <n v="154.307002361542"/>
    <n v="-89.959133120714"/>
    <n v="2882"/>
    <n v="354"/>
    <n v="125"/>
    <x v="18"/>
    <n v="44.25"/>
    <n v="44250"/>
  </r>
  <r>
    <x v="990"/>
    <s v="Los Angeles"/>
    <x v="1"/>
    <n v="8"/>
    <n v="30000"/>
    <n v="-157.74895415188001"/>
    <n v="74.700276794554895"/>
    <n v="3000"/>
    <n v="356"/>
    <n v="145"/>
    <x v="4"/>
    <n v="44.5"/>
    <n v="51620"/>
  </r>
  <r>
    <x v="991"/>
    <s v="Chicago"/>
    <x v="3"/>
    <n v="9"/>
    <n v="30000"/>
    <n v="-146.75020987990399"/>
    <n v="61.898294021567203"/>
    <n v="2678"/>
    <n v="374"/>
    <n v="116"/>
    <x v="6"/>
    <n v="41.555555555555557"/>
    <n v="43384"/>
  </r>
  <r>
    <x v="992"/>
    <s v="Houston"/>
    <x v="4"/>
    <n v="9"/>
    <n v="32000"/>
    <n v="-121.395243885757"/>
    <n v="43.612601667650502"/>
    <n v="2000"/>
    <n v="300"/>
    <n v="50"/>
    <x v="11"/>
    <n v="33.333333333333336"/>
    <n v="15000"/>
  </r>
  <r>
    <x v="993"/>
    <s v="Los Angeles"/>
    <x v="0"/>
    <n v="12"/>
    <n v="30000"/>
    <n v="34.276620285674902"/>
    <n v="-59.793372783714801"/>
    <n v="3500"/>
    <n v="600"/>
    <n v="100"/>
    <x v="23"/>
    <n v="50"/>
    <n v="60000"/>
  </r>
  <r>
    <x v="994"/>
    <s v="Miami"/>
    <x v="2"/>
    <n v="8"/>
    <n v="30000"/>
    <n v="-125.829982437841"/>
    <n v="-68.334556282202499"/>
    <n v="2718"/>
    <n v="354"/>
    <n v="115"/>
    <x v="7"/>
    <n v="44.25"/>
    <n v="40710"/>
  </r>
  <r>
    <x v="995"/>
    <s v="Los Angeles"/>
    <x v="3"/>
    <n v="8"/>
    <n v="30000"/>
    <n v="168.50749732226399"/>
    <n v="-77.831145094971006"/>
    <n v="2760"/>
    <n v="374"/>
    <n v="131"/>
    <x v="10"/>
    <n v="46.75"/>
    <n v="48994"/>
  </r>
  <r>
    <x v="996"/>
    <s v="New York"/>
    <x v="1"/>
    <n v="5"/>
    <n v="30000"/>
    <n v="-19.1827701869327"/>
    <n v="40.325253979125797"/>
    <n v="2800"/>
    <n v="600"/>
    <n v="200"/>
    <x v="15"/>
    <n v="120"/>
    <n v="120000"/>
  </r>
  <r>
    <x v="997"/>
    <s v="New York"/>
    <x v="3"/>
    <n v="9"/>
    <n v="30000"/>
    <n v="0.54646572605989296"/>
    <n v="77.185432923819306"/>
    <n v="2760"/>
    <n v="374"/>
    <n v="107"/>
    <x v="16"/>
    <n v="41.555555555555557"/>
    <n v="40018"/>
  </r>
  <r>
    <x v="998"/>
    <s v="Houston"/>
    <x v="1"/>
    <n v="9"/>
    <n v="30000"/>
    <n v="-91.202898310053698"/>
    <n v="-12.5035522356533"/>
    <n v="2500"/>
    <n v="356"/>
    <n v="127"/>
    <x v="12"/>
    <n v="39.555555555555557"/>
    <n v="45212"/>
  </r>
  <r>
    <x v="999"/>
    <s v="Chicago"/>
    <x v="4"/>
    <n v="10"/>
    <n v="30000"/>
    <n v="-10.4543091234959"/>
    <n v="-68.554679040711306"/>
    <n v="2000"/>
    <n v="150"/>
    <n v="100"/>
    <x v="9"/>
    <n v="15"/>
    <n v="1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330FD2-5024-4D2D-BB3A-AE1555485C9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Destination">
  <location ref="A42:B48" firstHeaderRow="1" firstDataRow="1" firstDataCol="1"/>
  <pivotFields count="11">
    <pivotField showAll="0"/>
    <pivotField showAll="0"/>
    <pivotField axis="axisRow"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>
      <items count="26">
        <item x="9"/>
        <item x="6"/>
        <item x="5"/>
        <item x="17"/>
        <item x="2"/>
        <item x="11"/>
        <item x="8"/>
        <item x="19"/>
        <item x="12"/>
        <item x="0"/>
        <item x="22"/>
        <item x="10"/>
        <item x="18"/>
        <item x="4"/>
        <item x="23"/>
        <item x="21"/>
        <item x="14"/>
        <item x="7"/>
        <item x="3"/>
        <item x="1"/>
        <item x="20"/>
        <item x="16"/>
        <item x="13"/>
        <item x="15"/>
        <item x="24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Ticket_Price" fld="8" subtotal="average" baseField="0" baseItem="0"/>
  </dataFields>
  <formats count="1">
    <format dxfId="1">
      <pivotArea collapsedLevelsAreSubtotals="1" fieldPosition="0">
        <references count="1">
          <reference field="2" count="0"/>
        </references>
      </pivotArea>
    </format>
  </formats>
  <chartFormats count="2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882583-AAF0-4575-AFD0-4C9A17DEA293}" name="PivotTable1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7:B133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26">
        <item x="9"/>
        <item x="6"/>
        <item x="5"/>
        <item x="17"/>
        <item x="2"/>
        <item x="11"/>
        <item x="8"/>
        <item x="19"/>
        <item x="12"/>
        <item x="0"/>
        <item x="22"/>
        <item x="10"/>
        <item x="18"/>
        <item x="4"/>
        <item x="23"/>
        <item x="21"/>
        <item x="14"/>
        <item x="7"/>
        <item x="3"/>
        <item x="1"/>
        <item x="20"/>
        <item x="16"/>
        <item x="13"/>
        <item x="15"/>
        <item x="24"/>
        <item t="default"/>
      </items>
    </pivotField>
    <pivotField numFmtId="164" showAll="0"/>
    <pivotField numFmtId="165" showAll="0"/>
  </pivotFields>
  <rowFields count="1">
    <field x="1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Average of Fuel_Consumption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E98465-E119-4898-9820-FDDA06978ED3}" name="PivotTable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Routes">
  <location ref="A137:B143" firstHeaderRow="1" firstDataRow="1" firstDataCol="1"/>
  <pivotFields count="13">
    <pivotField showAll="0"/>
    <pivotField showAll="0"/>
    <pivotField axis="axisRow"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26">
        <item x="9"/>
        <item x="6"/>
        <item x="5"/>
        <item x="17"/>
        <item x="2"/>
        <item x="11"/>
        <item x="8"/>
        <item x="19"/>
        <item x="12"/>
        <item x="0"/>
        <item x="22"/>
        <item x="10"/>
        <item x="18"/>
        <item x="4"/>
        <item x="23"/>
        <item x="21"/>
        <item x="14"/>
        <item x="7"/>
        <item x="3"/>
        <item x="1"/>
        <item x="20"/>
        <item x="16"/>
        <item x="13"/>
        <item x="15"/>
        <item x="24"/>
        <item t="default"/>
      </items>
    </pivotField>
    <pivotField numFmtId="164" showAll="0"/>
    <pivotField dataField="1" numFmtId="165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12" baseField="0" baseItem="0" numFmtId="165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89B2AD-0187-46AD-B415-FC90E6DF252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Route">
  <location ref="A54:B60" firstHeaderRow="1" firstDataRow="1" firstDataCol="1"/>
  <pivotFields count="11">
    <pivotField showAll="0"/>
    <pivotField showAll="0"/>
    <pivotField axis="axisRow" dataField="1"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26">
        <item x="9"/>
        <item x="6"/>
        <item x="5"/>
        <item x="17"/>
        <item x="2"/>
        <item x="11"/>
        <item x="8"/>
        <item x="19"/>
        <item x="12"/>
        <item x="0"/>
        <item x="22"/>
        <item x="10"/>
        <item x="18"/>
        <item x="4"/>
        <item x="23"/>
        <item x="21"/>
        <item x="14"/>
        <item x="7"/>
        <item x="3"/>
        <item x="1"/>
        <item x="20"/>
        <item x="16"/>
        <item x="13"/>
        <item x="15"/>
        <item x="24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Destination" fld="2" subtotal="count" baseField="0" baseItem="0"/>
  </dataFields>
  <chartFormats count="1"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1A1583-73A9-4894-8AA5-007157DADC7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Altitude">
  <location ref="A32:B36" firstHeaderRow="1" firstDataRow="1" firstDataCol="1"/>
  <pivotFields count="11"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Fuel_Consumption" fld="7" subtotal="average" baseField="0" baseItem="0"/>
  </dataFields>
  <formats count="1">
    <format dxfId="2">
      <pivotArea collapsedLevelsAreSubtotals="1" fieldPosition="0">
        <references count="1">
          <reference field="4" count="0"/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C91A57-1BEE-4A86-AF88-9AD6FAC4043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 rowHeaderCaption="Route">
  <location ref="A3:C29" firstHeaderRow="0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axis="axisRow" showAll="0">
      <items count="26">
        <item x="9"/>
        <item x="6"/>
        <item x="5"/>
        <item x="17"/>
        <item x="2"/>
        <item x="11"/>
        <item x="8"/>
        <item x="19"/>
        <item x="12"/>
        <item x="0"/>
        <item x="22"/>
        <item x="10"/>
        <item x="18"/>
        <item x="4"/>
        <item x="23"/>
        <item x="21"/>
        <item x="14"/>
        <item x="7"/>
        <item x="3"/>
        <item x="1"/>
        <item x="20"/>
        <item x="16"/>
        <item x="13"/>
        <item x="15"/>
        <item x="24"/>
        <item t="default"/>
      </items>
    </pivotField>
  </pivotFields>
  <rowFields count="1">
    <field x="1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Fuel Consumption" fld="7" subtotal="average" baseField="0" baseItem="0"/>
    <dataField name="Avg Passenger Count" fld="9" subtotal="average" baseField="10" baseItem="0"/>
  </dataFields>
  <formats count="2">
    <format dxfId="4">
      <pivotArea collapsedLevelsAreSubtotals="1" fieldPosition="0">
        <references count="2">
          <reference field="4294967294" count="1" selected="0">
            <x v="0"/>
          </reference>
          <reference field="10" count="0"/>
        </references>
      </pivotArea>
    </format>
    <format dxfId="3">
      <pivotArea collapsedLevelsAreSubtotals="1" fieldPosition="0">
        <references count="2">
          <reference field="4294967294" count="1" selected="0">
            <x v="1"/>
          </reference>
          <reference field="10" count="0"/>
        </references>
      </pivotArea>
    </format>
  </formats>
  <conditionalFormats count="5">
    <conditionalFormat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0" count="25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0" count="25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0" count="25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0" count="25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</reference>
          </references>
        </pivotArea>
      </pivotAreas>
    </conditionalFormat>
    <conditionalFormat priority="5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0" count="25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</reference>
          </references>
        </pivotArea>
      </pivotAreas>
    </conditionalFormat>
  </conditionalFormats>
  <chartFormats count="2"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BB1949-9A33-4347-9434-D74F627A511F}" name="PivotTable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6:D167" firstHeaderRow="0" firstDataRow="1" firstDataCol="0"/>
  <pivotFields count="13">
    <pivotField dataField="1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numFmtId="164" showAll="0"/>
    <pivotField numFmtId="165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Flight_ID" fld="0" subtotal="count" baseField="0" baseItem="0"/>
    <dataField name="Average of Passenger_Count" fld="9" subtotal="average" baseField="0" baseItem="0" numFmtId="3"/>
    <dataField name="Average of Ticket_Price" fld="8" subtotal="average" baseField="0" baseItem="0" numFmtId="166"/>
    <dataField name="Average of Fuel_Consumption" fld="7" subtotal="average" baseField="0" baseItem="0" numFmtId="2"/>
  </dataFields>
  <formats count="3">
    <format dxfId="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C4CB2F-84D2-4273-9629-547FAE2D1365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Route">
  <location ref="A78:B104" firstHeaderRow="1" firstDataRow="1" firstDataCol="1"/>
  <pivotFields count="12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26">
        <item x="9"/>
        <item x="6"/>
        <item x="5"/>
        <item x="17"/>
        <item x="2"/>
        <item x="11"/>
        <item x="8"/>
        <item x="19"/>
        <item x="12"/>
        <item x="0"/>
        <item x="22"/>
        <item x="10"/>
        <item x="18"/>
        <item x="4"/>
        <item x="23"/>
        <item x="21"/>
        <item x="14"/>
        <item x="7"/>
        <item x="3"/>
        <item x="1"/>
        <item x="20"/>
        <item x="16"/>
        <item x="13"/>
        <item x="15"/>
        <item x="24"/>
        <item t="default"/>
      </items>
    </pivotField>
    <pivotField numFmtId="164" showAll="0"/>
  </pivotFields>
  <rowFields count="1">
    <field x="1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Average Altitude" fld="4" subtotal="average" baseField="10" baseItem="0"/>
  </dataFields>
  <formats count="1">
    <format dxfId="0">
      <pivotArea collapsedLevelsAreSubtotals="1" fieldPosition="0">
        <references count="1">
          <reference field="10" count="0"/>
        </references>
      </pivotArea>
    </format>
  </format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85BEE1-C6AE-4291-B69B-6B07FFB64A4F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Flight_Duration">
  <location ref="A66:B75" firstHeaderRow="1" firstDataRow="1" firstDataCol="1"/>
  <pivotFields count="12">
    <pivotField showAll="0"/>
    <pivotField showAll="0"/>
    <pivotField showAll="0"/>
    <pivotField axis="axisRow" showAll="0">
      <items count="9">
        <item x="5"/>
        <item x="4"/>
        <item x="2"/>
        <item x="1"/>
        <item x="0"/>
        <item x="7"/>
        <item x="6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164" showAll="0">
      <items count="61">
        <item x="15"/>
        <item x="32"/>
        <item x="59"/>
        <item x="10"/>
        <item x="31"/>
        <item x="36"/>
        <item x="48"/>
        <item x="57"/>
        <item x="35"/>
        <item x="55"/>
        <item x="37"/>
        <item x="29"/>
        <item x="38"/>
        <item x="49"/>
        <item x="39"/>
        <item x="44"/>
        <item x="11"/>
        <item x="18"/>
        <item x="52"/>
        <item x="20"/>
        <item x="27"/>
        <item x="5"/>
        <item x="3"/>
        <item x="23"/>
        <item x="28"/>
        <item x="22"/>
        <item x="14"/>
        <item x="0"/>
        <item x="50"/>
        <item x="42"/>
        <item x="53"/>
        <item x="6"/>
        <item x="12"/>
        <item x="1"/>
        <item x="8"/>
        <item x="4"/>
        <item x="34"/>
        <item x="56"/>
        <item x="9"/>
        <item x="2"/>
        <item x="26"/>
        <item x="19"/>
        <item x="21"/>
        <item x="43"/>
        <item x="47"/>
        <item x="54"/>
        <item x="7"/>
        <item x="45"/>
        <item x="24"/>
        <item x="30"/>
        <item x="13"/>
        <item x="25"/>
        <item x="58"/>
        <item x="41"/>
        <item x="46"/>
        <item x="17"/>
        <item x="40"/>
        <item x="51"/>
        <item x="16"/>
        <item x="33"/>
        <item t="default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Price_per_Hour" fld="11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16EA7-7B48-422F-B4D7-656F5831C0A8}">
  <dimension ref="A1:R1001"/>
  <sheetViews>
    <sheetView topLeftCell="D1" workbookViewId="0">
      <selection activeCell="L2" sqref="L2"/>
    </sheetView>
  </sheetViews>
  <sheetFormatPr defaultRowHeight="15" x14ac:dyDescent="0.25"/>
  <cols>
    <col min="1" max="1" width="14.5703125" customWidth="1"/>
    <col min="2" max="2" width="15.7109375" customWidth="1"/>
    <col min="3" max="3" width="14.85546875" customWidth="1"/>
    <col min="4" max="4" width="14.7109375" customWidth="1"/>
    <col min="6" max="6" width="14.28515625" customWidth="1"/>
    <col min="7" max="7" width="17.85546875" customWidth="1"/>
    <col min="8" max="8" width="22.85546875" customWidth="1"/>
    <col min="9" max="9" width="20.42578125" customWidth="1"/>
    <col min="10" max="10" width="21.5703125" customWidth="1"/>
    <col min="11" max="11" width="21.140625" customWidth="1"/>
    <col min="13" max="13" width="10.140625" bestFit="1" customWidth="1"/>
    <col min="14" max="14" width="16.5703125" customWidth="1"/>
    <col min="15" max="15" width="10.140625" customWidth="1"/>
  </cols>
  <sheetData>
    <row r="1" spans="1:18" ht="17.25" x14ac:dyDescent="0.3">
      <c r="A1" t="s">
        <v>1010</v>
      </c>
      <c r="B1" t="s">
        <v>1011</v>
      </c>
      <c r="C1" t="s">
        <v>1012</v>
      </c>
      <c r="D1" t="s">
        <v>1013</v>
      </c>
      <c r="E1" t="s">
        <v>1014</v>
      </c>
      <c r="F1" t="s">
        <v>1015</v>
      </c>
      <c r="G1" t="s">
        <v>1016</v>
      </c>
      <c r="H1" t="s">
        <v>1017</v>
      </c>
      <c r="I1" t="s">
        <v>1018</v>
      </c>
      <c r="J1" t="s">
        <v>1019</v>
      </c>
      <c r="K1" t="s">
        <v>1020</v>
      </c>
      <c r="L1" t="s">
        <v>1052</v>
      </c>
      <c r="M1" t="s">
        <v>1054</v>
      </c>
      <c r="N1" s="8"/>
    </row>
    <row r="2" spans="1:18" x14ac:dyDescent="0.25">
      <c r="A2" t="s">
        <v>0</v>
      </c>
      <c r="B2" t="s">
        <v>1</v>
      </c>
      <c r="C2" t="s">
        <v>2</v>
      </c>
      <c r="D2">
        <v>10</v>
      </c>
      <c r="E2">
        <v>30000</v>
      </c>
      <c r="F2">
        <v>176.878044563119</v>
      </c>
      <c r="G2">
        <v>29.144453874662101</v>
      </c>
      <c r="H2">
        <v>2550</v>
      </c>
      <c r="I2">
        <v>397</v>
      </c>
      <c r="J2">
        <v>120</v>
      </c>
      <c r="K2" t="str">
        <f>B2 &amp; " → " &amp; C2</f>
        <v>Houston → Tokyo</v>
      </c>
      <c r="L2" s="5">
        <f>I2/D2</f>
        <v>39.700000000000003</v>
      </c>
      <c r="M2" s="7">
        <f>I2*J2</f>
        <v>47640</v>
      </c>
      <c r="N2" s="7"/>
      <c r="O2" s="7"/>
      <c r="Q2" s="6"/>
    </row>
    <row r="3" spans="1:18" x14ac:dyDescent="0.25">
      <c r="A3" t="s">
        <v>3</v>
      </c>
      <c r="B3" t="s">
        <v>4</v>
      </c>
      <c r="C3" t="s">
        <v>2</v>
      </c>
      <c r="D3">
        <v>9</v>
      </c>
      <c r="E3">
        <v>30000</v>
      </c>
      <c r="F3">
        <v>16.013639808094698</v>
      </c>
      <c r="G3">
        <v>45.211884651727701</v>
      </c>
      <c r="H3">
        <v>2729</v>
      </c>
      <c r="I3">
        <v>397</v>
      </c>
      <c r="J3">
        <v>50</v>
      </c>
      <c r="K3" t="str">
        <f t="shared" ref="K3:K66" si="0">B3 &amp; " → " &amp; C3</f>
        <v>Miami → Tokyo</v>
      </c>
      <c r="L3" s="5">
        <f t="shared" ref="L3:L66" si="1">I3/D3</f>
        <v>44.111111111111114</v>
      </c>
      <c r="M3" s="7">
        <f t="shared" ref="M3:M66" si="2">I3*J3</f>
        <v>19850</v>
      </c>
      <c r="N3" s="7"/>
      <c r="O3" s="7"/>
      <c r="Q3" s="6"/>
      <c r="R3" s="3"/>
    </row>
    <row r="4" spans="1:18" x14ac:dyDescent="0.25">
      <c r="A4" t="s">
        <v>5</v>
      </c>
      <c r="B4" t="s">
        <v>6</v>
      </c>
      <c r="C4" t="s">
        <v>2</v>
      </c>
      <c r="D4">
        <v>8</v>
      </c>
      <c r="E4">
        <v>30000</v>
      </c>
      <c r="F4">
        <v>166.596606091154</v>
      </c>
      <c r="G4">
        <v>45.696254887784299</v>
      </c>
      <c r="H4">
        <v>2583</v>
      </c>
      <c r="I4">
        <v>397</v>
      </c>
      <c r="J4">
        <v>133</v>
      </c>
      <c r="K4" t="str">
        <f t="shared" si="0"/>
        <v>Chicago → Tokyo</v>
      </c>
      <c r="L4" s="5">
        <f t="shared" si="1"/>
        <v>49.625</v>
      </c>
      <c r="M4" s="7">
        <f t="shared" si="2"/>
        <v>52801</v>
      </c>
      <c r="N4" s="7"/>
      <c r="O4" s="7"/>
      <c r="Q4" s="6"/>
      <c r="R4" s="4"/>
    </row>
    <row r="5" spans="1:18" x14ac:dyDescent="0.25">
      <c r="A5" t="s">
        <v>7</v>
      </c>
      <c r="B5" t="s">
        <v>4</v>
      </c>
      <c r="C5" t="s">
        <v>2</v>
      </c>
      <c r="D5">
        <v>9</v>
      </c>
      <c r="E5">
        <v>30000</v>
      </c>
      <c r="F5">
        <v>-152.78218537796999</v>
      </c>
      <c r="G5">
        <v>14.020400284935899</v>
      </c>
      <c r="H5">
        <v>2729</v>
      </c>
      <c r="I5">
        <v>397</v>
      </c>
      <c r="J5">
        <v>126</v>
      </c>
      <c r="K5" t="str">
        <f t="shared" si="0"/>
        <v>Miami → Tokyo</v>
      </c>
      <c r="L5" s="5">
        <f t="shared" si="1"/>
        <v>44.111111111111114</v>
      </c>
      <c r="M5" s="7">
        <f t="shared" si="2"/>
        <v>50022</v>
      </c>
      <c r="N5" s="7"/>
      <c r="O5" s="7"/>
      <c r="Q5" s="6"/>
      <c r="R5" s="3"/>
    </row>
    <row r="6" spans="1:18" x14ac:dyDescent="0.25">
      <c r="A6" t="s">
        <v>8</v>
      </c>
      <c r="B6" t="s">
        <v>4</v>
      </c>
      <c r="C6" t="s">
        <v>9</v>
      </c>
      <c r="D6">
        <v>10</v>
      </c>
      <c r="E6">
        <v>35000</v>
      </c>
      <c r="F6">
        <v>-48.354930625906299</v>
      </c>
      <c r="G6">
        <v>72.784759498894303</v>
      </c>
      <c r="H6">
        <v>3000</v>
      </c>
      <c r="I6">
        <v>356</v>
      </c>
      <c r="J6">
        <v>105</v>
      </c>
      <c r="K6" t="str">
        <f t="shared" si="0"/>
        <v>Miami → Sydney</v>
      </c>
      <c r="L6" s="5">
        <f t="shared" si="1"/>
        <v>35.6</v>
      </c>
      <c r="M6" s="7">
        <f t="shared" si="2"/>
        <v>37380</v>
      </c>
      <c r="N6" s="7"/>
      <c r="O6" s="7"/>
    </row>
    <row r="7" spans="1:18" x14ac:dyDescent="0.25">
      <c r="A7" t="s">
        <v>10</v>
      </c>
      <c r="B7" t="s">
        <v>11</v>
      </c>
      <c r="C7" t="s">
        <v>9</v>
      </c>
      <c r="D7">
        <v>8</v>
      </c>
      <c r="E7">
        <v>30000</v>
      </c>
      <c r="F7">
        <v>-98.862743517564297</v>
      </c>
      <c r="G7">
        <v>57.1334125150997</v>
      </c>
      <c r="H7">
        <v>3000</v>
      </c>
      <c r="I7">
        <v>356</v>
      </c>
      <c r="J7">
        <v>145</v>
      </c>
      <c r="K7" t="str">
        <f t="shared" si="0"/>
        <v>Los Angeles → Sydney</v>
      </c>
      <c r="L7" s="5">
        <f t="shared" si="1"/>
        <v>44.5</v>
      </c>
      <c r="M7" s="7">
        <f t="shared" si="2"/>
        <v>51620</v>
      </c>
      <c r="N7" s="7"/>
      <c r="O7" s="7"/>
    </row>
    <row r="8" spans="1:18" x14ac:dyDescent="0.25">
      <c r="A8" t="s">
        <v>12</v>
      </c>
      <c r="B8" t="s">
        <v>6</v>
      </c>
      <c r="C8" t="s">
        <v>13</v>
      </c>
      <c r="D8">
        <v>10</v>
      </c>
      <c r="E8">
        <v>30000</v>
      </c>
      <c r="F8">
        <v>-109.50008971166299</v>
      </c>
      <c r="G8">
        <v>46.268660645752597</v>
      </c>
      <c r="H8">
        <v>2928</v>
      </c>
      <c r="I8">
        <v>354</v>
      </c>
      <c r="J8">
        <v>121</v>
      </c>
      <c r="K8" t="str">
        <f t="shared" si="0"/>
        <v>Chicago → Paris</v>
      </c>
      <c r="L8" s="5">
        <f t="shared" si="1"/>
        <v>35.4</v>
      </c>
      <c r="M8" s="7">
        <f t="shared" si="2"/>
        <v>42834</v>
      </c>
      <c r="N8" s="7"/>
      <c r="O8" s="7"/>
    </row>
    <row r="9" spans="1:18" x14ac:dyDescent="0.25">
      <c r="A9" t="s">
        <v>14</v>
      </c>
      <c r="B9" t="s">
        <v>6</v>
      </c>
      <c r="C9" t="s">
        <v>15</v>
      </c>
      <c r="D9">
        <v>9</v>
      </c>
      <c r="E9">
        <v>30000</v>
      </c>
      <c r="F9">
        <v>-129.31093839863701</v>
      </c>
      <c r="G9">
        <v>-79.991006097517101</v>
      </c>
      <c r="H9">
        <v>2678</v>
      </c>
      <c r="I9">
        <v>374</v>
      </c>
      <c r="J9">
        <v>116</v>
      </c>
      <c r="K9" t="str">
        <f t="shared" si="0"/>
        <v>Chicago → London</v>
      </c>
      <c r="L9" s="5">
        <f t="shared" si="1"/>
        <v>41.555555555555557</v>
      </c>
      <c r="M9" s="7">
        <f t="shared" si="2"/>
        <v>43384</v>
      </c>
      <c r="N9" s="7"/>
      <c r="O9" s="7"/>
    </row>
    <row r="10" spans="1:18" x14ac:dyDescent="0.25">
      <c r="A10" t="s">
        <v>16</v>
      </c>
      <c r="B10" t="s">
        <v>6</v>
      </c>
      <c r="C10" t="s">
        <v>2</v>
      </c>
      <c r="D10">
        <v>8</v>
      </c>
      <c r="E10">
        <v>30000</v>
      </c>
      <c r="F10">
        <v>44.068910963758803</v>
      </c>
      <c r="G10">
        <v>-88.7619668004631</v>
      </c>
      <c r="H10">
        <v>2500</v>
      </c>
      <c r="I10">
        <v>450</v>
      </c>
      <c r="J10">
        <v>100</v>
      </c>
      <c r="K10" t="str">
        <f t="shared" si="0"/>
        <v>Chicago → Tokyo</v>
      </c>
      <c r="L10" s="5">
        <f t="shared" si="1"/>
        <v>56.25</v>
      </c>
      <c r="M10" s="7">
        <f t="shared" si="2"/>
        <v>45000</v>
      </c>
      <c r="N10" s="7"/>
      <c r="O10" s="7"/>
    </row>
    <row r="11" spans="1:18" x14ac:dyDescent="0.25">
      <c r="A11" t="s">
        <v>17</v>
      </c>
      <c r="B11" t="s">
        <v>4</v>
      </c>
      <c r="C11" t="s">
        <v>13</v>
      </c>
      <c r="D11">
        <v>8</v>
      </c>
      <c r="E11">
        <v>30000</v>
      </c>
      <c r="F11">
        <v>101.27586806903</v>
      </c>
      <c r="G11">
        <v>-51.759490104814901</v>
      </c>
      <c r="H11">
        <v>2718</v>
      </c>
      <c r="I11">
        <v>354</v>
      </c>
      <c r="J11">
        <v>115</v>
      </c>
      <c r="K11" t="str">
        <f t="shared" si="0"/>
        <v>Miami → Paris</v>
      </c>
      <c r="L11" s="5">
        <f t="shared" si="1"/>
        <v>44.25</v>
      </c>
      <c r="M11" s="7">
        <f t="shared" si="2"/>
        <v>40710</v>
      </c>
      <c r="N11" s="7"/>
      <c r="O11" s="7"/>
    </row>
    <row r="12" spans="1:18" x14ac:dyDescent="0.25">
      <c r="A12" t="s">
        <v>18</v>
      </c>
      <c r="B12" t="s">
        <v>1</v>
      </c>
      <c r="C12" t="s">
        <v>15</v>
      </c>
      <c r="D12">
        <v>8</v>
      </c>
      <c r="E12">
        <v>30000</v>
      </c>
      <c r="F12">
        <v>28.187423791329799</v>
      </c>
      <c r="G12">
        <v>29.4342469044214</v>
      </c>
      <c r="H12">
        <v>2846</v>
      </c>
      <c r="I12">
        <v>374</v>
      </c>
      <c r="J12">
        <v>138</v>
      </c>
      <c r="K12" t="str">
        <f t="shared" si="0"/>
        <v>Houston → London</v>
      </c>
      <c r="L12" s="5">
        <f t="shared" si="1"/>
        <v>46.75</v>
      </c>
      <c r="M12" s="7">
        <f t="shared" si="2"/>
        <v>51612</v>
      </c>
      <c r="N12" s="7"/>
      <c r="O12" s="7"/>
    </row>
    <row r="13" spans="1:18" x14ac:dyDescent="0.25">
      <c r="A13" t="s">
        <v>19</v>
      </c>
      <c r="B13" t="s">
        <v>6</v>
      </c>
      <c r="C13" t="s">
        <v>20</v>
      </c>
      <c r="D13">
        <v>9</v>
      </c>
      <c r="E13">
        <v>30000</v>
      </c>
      <c r="F13">
        <v>-127.093424548244</v>
      </c>
      <c r="G13">
        <v>-15.984452001141801</v>
      </c>
      <c r="H13">
        <v>3500</v>
      </c>
      <c r="I13">
        <v>150</v>
      </c>
      <c r="J13">
        <v>114</v>
      </c>
      <c r="K13" t="str">
        <f t="shared" si="0"/>
        <v>Chicago → Dubai</v>
      </c>
      <c r="L13" s="5">
        <f t="shared" si="1"/>
        <v>16.666666666666668</v>
      </c>
      <c r="M13" s="7">
        <f t="shared" si="2"/>
        <v>17100</v>
      </c>
      <c r="N13" s="7"/>
      <c r="O13" s="7"/>
    </row>
    <row r="14" spans="1:18" x14ac:dyDescent="0.25">
      <c r="A14" t="s">
        <v>21</v>
      </c>
      <c r="B14" t="s">
        <v>4</v>
      </c>
      <c r="C14" t="s">
        <v>9</v>
      </c>
      <c r="D14">
        <v>15</v>
      </c>
      <c r="E14">
        <v>35000</v>
      </c>
      <c r="F14">
        <v>112.00455717605</v>
      </c>
      <c r="G14">
        <v>-17.566873326123901</v>
      </c>
      <c r="H14">
        <v>2500</v>
      </c>
      <c r="I14">
        <v>450</v>
      </c>
      <c r="J14">
        <v>50</v>
      </c>
      <c r="K14" t="str">
        <f t="shared" si="0"/>
        <v>Miami → Sydney</v>
      </c>
      <c r="L14" s="5">
        <f t="shared" si="1"/>
        <v>30</v>
      </c>
      <c r="M14" s="7">
        <f t="shared" si="2"/>
        <v>22500</v>
      </c>
      <c r="N14" s="7"/>
      <c r="O14" s="7"/>
    </row>
    <row r="15" spans="1:18" x14ac:dyDescent="0.25">
      <c r="A15" t="s">
        <v>22</v>
      </c>
      <c r="B15" t="s">
        <v>11</v>
      </c>
      <c r="C15" t="s">
        <v>15</v>
      </c>
      <c r="D15">
        <v>7</v>
      </c>
      <c r="E15">
        <v>35000</v>
      </c>
      <c r="F15">
        <v>48.943694578942299</v>
      </c>
      <c r="G15">
        <v>69.225639881330494</v>
      </c>
      <c r="H15">
        <v>2500</v>
      </c>
      <c r="I15">
        <v>300</v>
      </c>
      <c r="J15">
        <v>200</v>
      </c>
      <c r="K15" t="str">
        <f t="shared" si="0"/>
        <v>Los Angeles → London</v>
      </c>
      <c r="L15" s="5">
        <f t="shared" si="1"/>
        <v>42.857142857142854</v>
      </c>
      <c r="M15" s="7">
        <f t="shared" si="2"/>
        <v>60000</v>
      </c>
      <c r="N15" s="7"/>
      <c r="O15" s="7"/>
    </row>
    <row r="16" spans="1:18" x14ac:dyDescent="0.25">
      <c r="A16" t="s">
        <v>23</v>
      </c>
      <c r="B16" t="s">
        <v>1</v>
      </c>
      <c r="C16" t="s">
        <v>20</v>
      </c>
      <c r="D16">
        <v>9</v>
      </c>
      <c r="E16">
        <v>30000</v>
      </c>
      <c r="F16">
        <v>-40.260345794281598</v>
      </c>
      <c r="G16">
        <v>71.201312663731002</v>
      </c>
      <c r="H16">
        <v>2500</v>
      </c>
      <c r="I16">
        <v>600</v>
      </c>
      <c r="J16">
        <v>50</v>
      </c>
      <c r="K16" t="str">
        <f t="shared" si="0"/>
        <v>Houston → Dubai</v>
      </c>
      <c r="L16" s="5">
        <f t="shared" si="1"/>
        <v>66.666666666666671</v>
      </c>
      <c r="M16" s="7">
        <f t="shared" si="2"/>
        <v>30000</v>
      </c>
      <c r="N16" s="7"/>
      <c r="O16" s="7"/>
    </row>
    <row r="17" spans="1:15" x14ac:dyDescent="0.25">
      <c r="A17" t="s">
        <v>24</v>
      </c>
      <c r="B17" t="s">
        <v>11</v>
      </c>
      <c r="C17" t="s">
        <v>15</v>
      </c>
      <c r="D17">
        <v>7</v>
      </c>
      <c r="E17">
        <v>32000</v>
      </c>
      <c r="F17">
        <v>62.686906392982699</v>
      </c>
      <c r="G17">
        <v>73.651547529645399</v>
      </c>
      <c r="H17">
        <v>2000</v>
      </c>
      <c r="I17">
        <v>300</v>
      </c>
      <c r="J17">
        <v>100</v>
      </c>
      <c r="K17" t="str">
        <f t="shared" si="0"/>
        <v>Los Angeles → London</v>
      </c>
      <c r="L17" s="5">
        <f t="shared" si="1"/>
        <v>42.857142857142854</v>
      </c>
      <c r="M17" s="7">
        <f t="shared" si="2"/>
        <v>30000</v>
      </c>
      <c r="N17" s="7"/>
      <c r="O17" s="7"/>
    </row>
    <row r="18" spans="1:15" x14ac:dyDescent="0.25">
      <c r="A18" t="s">
        <v>25</v>
      </c>
      <c r="B18" t="s">
        <v>1</v>
      </c>
      <c r="C18" t="s">
        <v>9</v>
      </c>
      <c r="D18">
        <v>9</v>
      </c>
      <c r="E18">
        <v>32000</v>
      </c>
      <c r="F18">
        <v>-86.434207472580198</v>
      </c>
      <c r="G18">
        <v>-33.5019462272951</v>
      </c>
      <c r="H18">
        <v>2500</v>
      </c>
      <c r="I18">
        <v>356</v>
      </c>
      <c r="J18">
        <v>50</v>
      </c>
      <c r="K18" t="str">
        <f t="shared" si="0"/>
        <v>Houston → Sydney</v>
      </c>
      <c r="L18" s="5">
        <f t="shared" si="1"/>
        <v>39.555555555555557</v>
      </c>
      <c r="M18" s="7">
        <f t="shared" si="2"/>
        <v>17800</v>
      </c>
      <c r="N18" s="7"/>
      <c r="O18" s="7"/>
    </row>
    <row r="19" spans="1:15" x14ac:dyDescent="0.25">
      <c r="A19" t="s">
        <v>26</v>
      </c>
      <c r="B19" t="s">
        <v>4</v>
      </c>
      <c r="C19" t="s">
        <v>9</v>
      </c>
      <c r="D19">
        <v>15</v>
      </c>
      <c r="E19">
        <v>30000</v>
      </c>
      <c r="F19">
        <v>-55.730804942084198</v>
      </c>
      <c r="G19">
        <v>34.390046293067101</v>
      </c>
      <c r="H19">
        <v>2500</v>
      </c>
      <c r="I19">
        <v>150</v>
      </c>
      <c r="J19">
        <v>50</v>
      </c>
      <c r="K19" t="str">
        <f t="shared" si="0"/>
        <v>Miami → Sydney</v>
      </c>
      <c r="L19" s="5">
        <f t="shared" si="1"/>
        <v>10</v>
      </c>
      <c r="M19" s="7">
        <f t="shared" si="2"/>
        <v>7500</v>
      </c>
      <c r="N19" s="7"/>
      <c r="O19" s="7"/>
    </row>
    <row r="20" spans="1:15" x14ac:dyDescent="0.25">
      <c r="A20" t="s">
        <v>27</v>
      </c>
      <c r="B20" t="s">
        <v>28</v>
      </c>
      <c r="C20" t="s">
        <v>13</v>
      </c>
      <c r="D20">
        <v>5</v>
      </c>
      <c r="E20">
        <v>35000</v>
      </c>
      <c r="F20">
        <v>150.29490352751699</v>
      </c>
      <c r="G20">
        <v>-41.106027370613504</v>
      </c>
      <c r="H20">
        <v>2847</v>
      </c>
      <c r="I20">
        <v>450</v>
      </c>
      <c r="J20">
        <v>50</v>
      </c>
      <c r="K20" t="str">
        <f t="shared" si="0"/>
        <v>New York → Paris</v>
      </c>
      <c r="L20" s="5">
        <f t="shared" si="1"/>
        <v>90</v>
      </c>
      <c r="M20" s="7">
        <f t="shared" si="2"/>
        <v>22500</v>
      </c>
      <c r="N20" s="7"/>
      <c r="O20" s="7"/>
    </row>
    <row r="21" spans="1:15" x14ac:dyDescent="0.25">
      <c r="A21" t="s">
        <v>29</v>
      </c>
      <c r="B21" t="s">
        <v>1</v>
      </c>
      <c r="C21" t="s">
        <v>2</v>
      </c>
      <c r="D21">
        <v>5</v>
      </c>
      <c r="E21">
        <v>30000</v>
      </c>
      <c r="F21">
        <v>-75.418377958288701</v>
      </c>
      <c r="G21">
        <v>-55.690230046598998</v>
      </c>
      <c r="H21">
        <v>2000</v>
      </c>
      <c r="I21">
        <v>397</v>
      </c>
      <c r="J21">
        <v>150</v>
      </c>
      <c r="K21" t="str">
        <f t="shared" si="0"/>
        <v>Houston → Tokyo</v>
      </c>
      <c r="L21" s="5">
        <f t="shared" si="1"/>
        <v>79.400000000000006</v>
      </c>
      <c r="M21" s="7">
        <f t="shared" si="2"/>
        <v>59550</v>
      </c>
      <c r="N21" s="7"/>
      <c r="O21" s="7"/>
    </row>
    <row r="22" spans="1:15" x14ac:dyDescent="0.25">
      <c r="A22" t="s">
        <v>30</v>
      </c>
      <c r="B22" t="s">
        <v>11</v>
      </c>
      <c r="C22" t="s">
        <v>15</v>
      </c>
      <c r="D22">
        <v>9</v>
      </c>
      <c r="E22">
        <v>30000</v>
      </c>
      <c r="F22">
        <v>-10.804223463142799</v>
      </c>
      <c r="G22">
        <v>-56.766157677473501</v>
      </c>
      <c r="H22">
        <v>2760</v>
      </c>
      <c r="I22">
        <v>600</v>
      </c>
      <c r="J22">
        <v>150</v>
      </c>
      <c r="K22" t="str">
        <f t="shared" si="0"/>
        <v>Los Angeles → London</v>
      </c>
      <c r="L22" s="5">
        <f t="shared" si="1"/>
        <v>66.666666666666671</v>
      </c>
      <c r="M22" s="7">
        <f t="shared" si="2"/>
        <v>90000</v>
      </c>
      <c r="N22" s="7"/>
      <c r="O22" s="7"/>
    </row>
    <row r="23" spans="1:15" x14ac:dyDescent="0.25">
      <c r="A23" t="s">
        <v>31</v>
      </c>
      <c r="B23" t="s">
        <v>4</v>
      </c>
      <c r="C23" t="s">
        <v>15</v>
      </c>
      <c r="D23">
        <v>12</v>
      </c>
      <c r="E23">
        <v>30000</v>
      </c>
      <c r="F23">
        <v>140.45080946256499</v>
      </c>
      <c r="G23">
        <v>-28.4206282445531</v>
      </c>
      <c r="H23">
        <v>3000</v>
      </c>
      <c r="I23">
        <v>374</v>
      </c>
      <c r="J23">
        <v>200</v>
      </c>
      <c r="K23" t="str">
        <f t="shared" si="0"/>
        <v>Miami → London</v>
      </c>
      <c r="L23" s="5">
        <f t="shared" si="1"/>
        <v>31.166666666666668</v>
      </c>
      <c r="M23" s="7">
        <f t="shared" si="2"/>
        <v>74800</v>
      </c>
      <c r="N23" s="7"/>
      <c r="O23" s="7"/>
    </row>
    <row r="24" spans="1:15" x14ac:dyDescent="0.25">
      <c r="A24" t="s">
        <v>32</v>
      </c>
      <c r="B24" t="s">
        <v>1</v>
      </c>
      <c r="C24" t="s">
        <v>20</v>
      </c>
      <c r="D24">
        <v>8</v>
      </c>
      <c r="E24">
        <v>30000</v>
      </c>
      <c r="F24">
        <v>74.779686096309902</v>
      </c>
      <c r="G24">
        <v>-12.6076284396321</v>
      </c>
      <c r="H24">
        <v>2500</v>
      </c>
      <c r="I24">
        <v>402</v>
      </c>
      <c r="J24">
        <v>100</v>
      </c>
      <c r="K24" t="str">
        <f t="shared" si="0"/>
        <v>Houston → Dubai</v>
      </c>
      <c r="L24" s="5">
        <f t="shared" si="1"/>
        <v>50.25</v>
      </c>
      <c r="M24" s="7">
        <f t="shared" si="2"/>
        <v>40200</v>
      </c>
      <c r="N24" s="7"/>
      <c r="O24" s="7"/>
    </row>
    <row r="25" spans="1:15" x14ac:dyDescent="0.25">
      <c r="A25" t="s">
        <v>33</v>
      </c>
      <c r="B25" t="s">
        <v>28</v>
      </c>
      <c r="C25" t="s">
        <v>9</v>
      </c>
      <c r="D25">
        <v>9</v>
      </c>
      <c r="E25">
        <v>30000</v>
      </c>
      <c r="F25">
        <v>-157.60683858070701</v>
      </c>
      <c r="G25">
        <v>59.570850789912299</v>
      </c>
      <c r="H25">
        <v>2800</v>
      </c>
      <c r="I25">
        <v>356</v>
      </c>
      <c r="J25">
        <v>120</v>
      </c>
      <c r="K25" t="str">
        <f t="shared" si="0"/>
        <v>New York → Sydney</v>
      </c>
      <c r="L25" s="5">
        <f t="shared" si="1"/>
        <v>39.555555555555557</v>
      </c>
      <c r="M25" s="7">
        <f t="shared" si="2"/>
        <v>42720</v>
      </c>
      <c r="N25" s="7"/>
      <c r="O25" s="7"/>
    </row>
    <row r="26" spans="1:15" x14ac:dyDescent="0.25">
      <c r="A26" t="s">
        <v>34</v>
      </c>
      <c r="B26" t="s">
        <v>28</v>
      </c>
      <c r="C26" t="s">
        <v>15</v>
      </c>
      <c r="D26">
        <v>12</v>
      </c>
      <c r="E26">
        <v>35000</v>
      </c>
      <c r="F26">
        <v>-126.970904059571</v>
      </c>
      <c r="G26">
        <v>-68.419603174911799</v>
      </c>
      <c r="H26">
        <v>2000</v>
      </c>
      <c r="I26">
        <v>374</v>
      </c>
      <c r="J26">
        <v>50</v>
      </c>
      <c r="K26" t="str">
        <f t="shared" si="0"/>
        <v>New York → London</v>
      </c>
      <c r="L26" s="5">
        <f t="shared" si="1"/>
        <v>31.166666666666668</v>
      </c>
      <c r="M26" s="7">
        <f t="shared" si="2"/>
        <v>18700</v>
      </c>
      <c r="N26" s="7"/>
      <c r="O26" s="7"/>
    </row>
    <row r="27" spans="1:15" x14ac:dyDescent="0.25">
      <c r="A27" t="s">
        <v>35</v>
      </c>
      <c r="B27" t="s">
        <v>6</v>
      </c>
      <c r="C27" t="s">
        <v>9</v>
      </c>
      <c r="D27">
        <v>9</v>
      </c>
      <c r="E27">
        <v>30000</v>
      </c>
      <c r="F27">
        <v>-177.17702732211001</v>
      </c>
      <c r="G27">
        <v>42.286652531081003</v>
      </c>
      <c r="H27">
        <v>2678</v>
      </c>
      <c r="I27">
        <v>356</v>
      </c>
      <c r="J27">
        <v>137</v>
      </c>
      <c r="K27" t="str">
        <f t="shared" si="0"/>
        <v>Chicago → Sydney</v>
      </c>
      <c r="L27" s="5">
        <f t="shared" si="1"/>
        <v>39.555555555555557</v>
      </c>
      <c r="M27" s="7">
        <f t="shared" si="2"/>
        <v>48772</v>
      </c>
      <c r="N27" s="7"/>
      <c r="O27" s="7"/>
    </row>
    <row r="28" spans="1:15" x14ac:dyDescent="0.25">
      <c r="A28" t="s">
        <v>36</v>
      </c>
      <c r="B28" t="s">
        <v>6</v>
      </c>
      <c r="C28" t="s">
        <v>15</v>
      </c>
      <c r="D28">
        <v>9</v>
      </c>
      <c r="E28">
        <v>30000</v>
      </c>
      <c r="F28">
        <v>47.131844482498799</v>
      </c>
      <c r="G28">
        <v>5.6618845540749598</v>
      </c>
      <c r="H28">
        <v>3000</v>
      </c>
      <c r="I28">
        <v>300</v>
      </c>
      <c r="J28">
        <v>50</v>
      </c>
      <c r="K28" t="str">
        <f t="shared" si="0"/>
        <v>Chicago → London</v>
      </c>
      <c r="L28" s="5">
        <f t="shared" si="1"/>
        <v>33.333333333333336</v>
      </c>
      <c r="M28" s="7">
        <f t="shared" si="2"/>
        <v>15000</v>
      </c>
      <c r="N28" s="7"/>
      <c r="O28" s="7"/>
    </row>
    <row r="29" spans="1:15" x14ac:dyDescent="0.25">
      <c r="A29" t="s">
        <v>37</v>
      </c>
      <c r="B29" t="s">
        <v>11</v>
      </c>
      <c r="C29" t="s">
        <v>13</v>
      </c>
      <c r="D29">
        <v>7</v>
      </c>
      <c r="E29">
        <v>30000</v>
      </c>
      <c r="F29">
        <v>-18.837566852249399</v>
      </c>
      <c r="G29">
        <v>-38.169838318321297</v>
      </c>
      <c r="H29">
        <v>2500</v>
      </c>
      <c r="I29">
        <v>354</v>
      </c>
      <c r="J29">
        <v>150</v>
      </c>
      <c r="K29" t="str">
        <f t="shared" si="0"/>
        <v>Los Angeles → Paris</v>
      </c>
      <c r="L29" s="5">
        <f t="shared" si="1"/>
        <v>50.571428571428569</v>
      </c>
      <c r="M29" s="7">
        <f t="shared" si="2"/>
        <v>53100</v>
      </c>
      <c r="N29" s="7"/>
      <c r="O29" s="7"/>
    </row>
    <row r="30" spans="1:15" x14ac:dyDescent="0.25">
      <c r="A30" t="s">
        <v>38</v>
      </c>
      <c r="B30" t="s">
        <v>1</v>
      </c>
      <c r="C30" t="s">
        <v>2</v>
      </c>
      <c r="D30">
        <v>10</v>
      </c>
      <c r="E30">
        <v>30000</v>
      </c>
      <c r="F30">
        <v>-131.66105367518099</v>
      </c>
      <c r="G30">
        <v>-1.29247478409157</v>
      </c>
      <c r="H30">
        <v>2550</v>
      </c>
      <c r="I30">
        <v>397</v>
      </c>
      <c r="J30">
        <v>120</v>
      </c>
      <c r="K30" t="str">
        <f t="shared" si="0"/>
        <v>Houston → Tokyo</v>
      </c>
      <c r="L30" s="5">
        <f t="shared" si="1"/>
        <v>39.700000000000003</v>
      </c>
      <c r="M30" s="7">
        <f t="shared" si="2"/>
        <v>47640</v>
      </c>
      <c r="N30" s="7"/>
      <c r="O30" s="7"/>
    </row>
    <row r="31" spans="1:15" x14ac:dyDescent="0.25">
      <c r="A31" t="s">
        <v>39</v>
      </c>
      <c r="B31" t="s">
        <v>1</v>
      </c>
      <c r="C31" t="s">
        <v>15</v>
      </c>
      <c r="D31">
        <v>8</v>
      </c>
      <c r="E31">
        <v>30000</v>
      </c>
      <c r="F31">
        <v>164.85628358043701</v>
      </c>
      <c r="G31">
        <v>-36.010427440135899</v>
      </c>
      <c r="H31">
        <v>2846</v>
      </c>
      <c r="I31">
        <v>374</v>
      </c>
      <c r="J31">
        <v>138</v>
      </c>
      <c r="K31" t="str">
        <f t="shared" si="0"/>
        <v>Houston → London</v>
      </c>
      <c r="L31" s="5">
        <f t="shared" si="1"/>
        <v>46.75</v>
      </c>
      <c r="M31" s="7">
        <f t="shared" si="2"/>
        <v>51612</v>
      </c>
      <c r="N31" s="7"/>
      <c r="O31" s="7"/>
    </row>
    <row r="32" spans="1:15" x14ac:dyDescent="0.25">
      <c r="A32" t="s">
        <v>40</v>
      </c>
      <c r="B32" t="s">
        <v>6</v>
      </c>
      <c r="C32" t="s">
        <v>9</v>
      </c>
      <c r="D32">
        <v>9</v>
      </c>
      <c r="E32">
        <v>30000</v>
      </c>
      <c r="F32">
        <v>10.677500620423199</v>
      </c>
      <c r="G32">
        <v>17.2947519428951</v>
      </c>
      <c r="H32">
        <v>2678</v>
      </c>
      <c r="I32">
        <v>356</v>
      </c>
      <c r="J32">
        <v>137</v>
      </c>
      <c r="K32" t="str">
        <f t="shared" si="0"/>
        <v>Chicago → Sydney</v>
      </c>
      <c r="L32" s="5">
        <f t="shared" si="1"/>
        <v>39.555555555555557</v>
      </c>
      <c r="M32" s="7">
        <f t="shared" si="2"/>
        <v>48772</v>
      </c>
      <c r="N32" s="7"/>
      <c r="O32" s="7"/>
    </row>
    <row r="33" spans="1:15" x14ac:dyDescent="0.25">
      <c r="A33" t="s">
        <v>41</v>
      </c>
      <c r="B33" t="s">
        <v>1</v>
      </c>
      <c r="C33" t="s">
        <v>13</v>
      </c>
      <c r="D33">
        <v>9</v>
      </c>
      <c r="E33">
        <v>30000</v>
      </c>
      <c r="F33">
        <v>-92.918414119359895</v>
      </c>
      <c r="G33">
        <v>-11.908093886055999</v>
      </c>
      <c r="H33">
        <v>2647</v>
      </c>
      <c r="I33">
        <v>354</v>
      </c>
      <c r="J33">
        <v>113</v>
      </c>
      <c r="K33" t="str">
        <f t="shared" si="0"/>
        <v>Houston → Paris</v>
      </c>
      <c r="L33" s="5">
        <f t="shared" si="1"/>
        <v>39.333333333333336</v>
      </c>
      <c r="M33" s="7">
        <f t="shared" si="2"/>
        <v>40002</v>
      </c>
      <c r="N33" s="7"/>
      <c r="O33" s="7"/>
    </row>
    <row r="34" spans="1:15" x14ac:dyDescent="0.25">
      <c r="A34" t="s">
        <v>42</v>
      </c>
      <c r="B34" t="s">
        <v>1</v>
      </c>
      <c r="C34" t="s">
        <v>15</v>
      </c>
      <c r="D34">
        <v>5</v>
      </c>
      <c r="E34">
        <v>30000</v>
      </c>
      <c r="F34">
        <v>0.21728561569471999</v>
      </c>
      <c r="G34">
        <v>-60.407004765801801</v>
      </c>
      <c r="H34">
        <v>2500</v>
      </c>
      <c r="I34">
        <v>450</v>
      </c>
      <c r="J34">
        <v>200</v>
      </c>
      <c r="K34" t="str">
        <f t="shared" si="0"/>
        <v>Houston → London</v>
      </c>
      <c r="L34" s="5">
        <f t="shared" si="1"/>
        <v>90</v>
      </c>
      <c r="M34" s="7">
        <f t="shared" si="2"/>
        <v>90000</v>
      </c>
      <c r="N34" s="7"/>
      <c r="O34" s="7"/>
    </row>
    <row r="35" spans="1:15" x14ac:dyDescent="0.25">
      <c r="A35" t="s">
        <v>43</v>
      </c>
      <c r="B35" t="s">
        <v>28</v>
      </c>
      <c r="C35" t="s">
        <v>20</v>
      </c>
      <c r="D35">
        <v>11</v>
      </c>
      <c r="E35">
        <v>30000</v>
      </c>
      <c r="F35">
        <v>64.663319784638801</v>
      </c>
      <c r="G35">
        <v>-69.015046579974594</v>
      </c>
      <c r="H35">
        <v>2588</v>
      </c>
      <c r="I35">
        <v>402</v>
      </c>
      <c r="J35">
        <v>134</v>
      </c>
      <c r="K35" t="str">
        <f t="shared" si="0"/>
        <v>New York → Dubai</v>
      </c>
      <c r="L35" s="5">
        <f t="shared" si="1"/>
        <v>36.545454545454547</v>
      </c>
      <c r="M35" s="7">
        <f t="shared" si="2"/>
        <v>53868</v>
      </c>
      <c r="N35" s="7"/>
      <c r="O35" s="7"/>
    </row>
    <row r="36" spans="1:15" x14ac:dyDescent="0.25">
      <c r="A36" t="s">
        <v>44</v>
      </c>
      <c r="B36" t="s">
        <v>6</v>
      </c>
      <c r="C36" t="s">
        <v>2</v>
      </c>
      <c r="D36">
        <v>9</v>
      </c>
      <c r="E36">
        <v>30000</v>
      </c>
      <c r="F36">
        <v>-152.55388152951701</v>
      </c>
      <c r="G36">
        <v>8.4052227729834197</v>
      </c>
      <c r="H36">
        <v>2500</v>
      </c>
      <c r="I36">
        <v>600</v>
      </c>
      <c r="J36">
        <v>200</v>
      </c>
      <c r="K36" t="str">
        <f t="shared" si="0"/>
        <v>Chicago → Tokyo</v>
      </c>
      <c r="L36" s="5">
        <f t="shared" si="1"/>
        <v>66.666666666666671</v>
      </c>
      <c r="M36" s="7">
        <f t="shared" si="2"/>
        <v>120000</v>
      </c>
      <c r="N36" s="7"/>
      <c r="O36" s="7"/>
    </row>
    <row r="37" spans="1:15" x14ac:dyDescent="0.25">
      <c r="A37" t="s">
        <v>45</v>
      </c>
      <c r="B37" t="s">
        <v>4</v>
      </c>
      <c r="C37" t="s">
        <v>15</v>
      </c>
      <c r="D37">
        <v>5</v>
      </c>
      <c r="E37">
        <v>32000</v>
      </c>
      <c r="F37">
        <v>-81.106626582758906</v>
      </c>
      <c r="G37">
        <v>72.434345991498603</v>
      </c>
      <c r="H37">
        <v>2000</v>
      </c>
      <c r="I37">
        <v>300</v>
      </c>
      <c r="J37">
        <v>150</v>
      </c>
      <c r="K37" t="str">
        <f t="shared" si="0"/>
        <v>Miami → London</v>
      </c>
      <c r="L37" s="5">
        <f t="shared" si="1"/>
        <v>60</v>
      </c>
      <c r="M37" s="7">
        <f t="shared" si="2"/>
        <v>45000</v>
      </c>
      <c r="N37" s="7"/>
      <c r="O37" s="7"/>
    </row>
    <row r="38" spans="1:15" x14ac:dyDescent="0.25">
      <c r="A38" t="s">
        <v>46</v>
      </c>
      <c r="B38" t="s">
        <v>6</v>
      </c>
      <c r="C38" t="s">
        <v>13</v>
      </c>
      <c r="D38">
        <v>5</v>
      </c>
      <c r="E38">
        <v>30000</v>
      </c>
      <c r="F38">
        <v>110.507576718238</v>
      </c>
      <c r="G38">
        <v>-28.087616419616602</v>
      </c>
      <c r="H38">
        <v>3500</v>
      </c>
      <c r="I38">
        <v>354</v>
      </c>
      <c r="J38">
        <v>121</v>
      </c>
      <c r="K38" t="str">
        <f t="shared" si="0"/>
        <v>Chicago → Paris</v>
      </c>
      <c r="L38" s="5">
        <f t="shared" si="1"/>
        <v>70.8</v>
      </c>
      <c r="M38" s="7">
        <f t="shared" si="2"/>
        <v>42834</v>
      </c>
      <c r="N38" s="7"/>
      <c r="O38" s="7"/>
    </row>
    <row r="39" spans="1:15" x14ac:dyDescent="0.25">
      <c r="A39" t="s">
        <v>47</v>
      </c>
      <c r="B39" t="s">
        <v>4</v>
      </c>
      <c r="C39" t="s">
        <v>20</v>
      </c>
      <c r="D39">
        <v>9</v>
      </c>
      <c r="E39">
        <v>30000</v>
      </c>
      <c r="F39">
        <v>-14.520646655042</v>
      </c>
      <c r="G39">
        <v>41.940019300072201</v>
      </c>
      <c r="H39">
        <v>2000</v>
      </c>
      <c r="I39">
        <v>300</v>
      </c>
      <c r="J39">
        <v>200</v>
      </c>
      <c r="K39" t="str">
        <f t="shared" si="0"/>
        <v>Miami → Dubai</v>
      </c>
      <c r="L39" s="5">
        <f t="shared" si="1"/>
        <v>33.333333333333336</v>
      </c>
      <c r="M39" s="7">
        <f t="shared" si="2"/>
        <v>60000</v>
      </c>
      <c r="N39" s="7"/>
      <c r="O39" s="7"/>
    </row>
    <row r="40" spans="1:15" x14ac:dyDescent="0.25">
      <c r="A40" t="s">
        <v>48</v>
      </c>
      <c r="B40" t="s">
        <v>28</v>
      </c>
      <c r="C40" t="s">
        <v>13</v>
      </c>
      <c r="D40">
        <v>9</v>
      </c>
      <c r="E40">
        <v>30000</v>
      </c>
      <c r="F40">
        <v>16.767771131626201</v>
      </c>
      <c r="G40">
        <v>28.559043889158101</v>
      </c>
      <c r="H40">
        <v>3500</v>
      </c>
      <c r="I40">
        <v>450</v>
      </c>
      <c r="J40">
        <v>150</v>
      </c>
      <c r="K40" t="str">
        <f t="shared" si="0"/>
        <v>New York → Paris</v>
      </c>
      <c r="L40" s="5">
        <f t="shared" si="1"/>
        <v>50</v>
      </c>
      <c r="M40" s="7">
        <f t="shared" si="2"/>
        <v>67500</v>
      </c>
      <c r="N40" s="7"/>
      <c r="O40" s="7"/>
    </row>
    <row r="41" spans="1:15" x14ac:dyDescent="0.25">
      <c r="A41" t="s">
        <v>49</v>
      </c>
      <c r="B41" t="s">
        <v>11</v>
      </c>
      <c r="C41" t="s">
        <v>13</v>
      </c>
      <c r="D41">
        <v>8</v>
      </c>
      <c r="E41">
        <v>30000</v>
      </c>
      <c r="F41">
        <v>-24.1862392045911</v>
      </c>
      <c r="G41">
        <v>77.679884575706595</v>
      </c>
      <c r="H41">
        <v>2882</v>
      </c>
      <c r="I41">
        <v>354</v>
      </c>
      <c r="J41">
        <v>125</v>
      </c>
      <c r="K41" t="str">
        <f t="shared" si="0"/>
        <v>Los Angeles → Paris</v>
      </c>
      <c r="L41" s="5">
        <f t="shared" si="1"/>
        <v>44.25</v>
      </c>
      <c r="M41" s="7">
        <f t="shared" si="2"/>
        <v>44250</v>
      </c>
      <c r="N41" s="7"/>
      <c r="O41" s="7"/>
    </row>
    <row r="42" spans="1:15" x14ac:dyDescent="0.25">
      <c r="A42" t="s">
        <v>50</v>
      </c>
      <c r="B42" t="s">
        <v>1</v>
      </c>
      <c r="C42" t="s">
        <v>20</v>
      </c>
      <c r="D42">
        <v>12</v>
      </c>
      <c r="E42">
        <v>30000</v>
      </c>
      <c r="F42">
        <v>-164.19602064851799</v>
      </c>
      <c r="G42">
        <v>57.776583113845398</v>
      </c>
      <c r="H42">
        <v>3000</v>
      </c>
      <c r="I42">
        <v>402</v>
      </c>
      <c r="J42">
        <v>200</v>
      </c>
      <c r="K42" t="str">
        <f t="shared" si="0"/>
        <v>Houston → Dubai</v>
      </c>
      <c r="L42" s="5">
        <f t="shared" si="1"/>
        <v>33.5</v>
      </c>
      <c r="M42" s="7">
        <f t="shared" si="2"/>
        <v>80400</v>
      </c>
      <c r="N42" s="7"/>
      <c r="O42" s="7"/>
    </row>
    <row r="43" spans="1:15" x14ac:dyDescent="0.25">
      <c r="A43" t="s">
        <v>51</v>
      </c>
      <c r="B43" t="s">
        <v>28</v>
      </c>
      <c r="C43" t="s">
        <v>13</v>
      </c>
      <c r="D43">
        <v>9</v>
      </c>
      <c r="E43">
        <v>30000</v>
      </c>
      <c r="F43">
        <v>-120.330079264744</v>
      </c>
      <c r="G43">
        <v>11.988946602983299</v>
      </c>
      <c r="H43">
        <v>2847</v>
      </c>
      <c r="I43">
        <v>354</v>
      </c>
      <c r="J43">
        <v>122</v>
      </c>
      <c r="K43" t="str">
        <f t="shared" si="0"/>
        <v>New York → Paris</v>
      </c>
      <c r="L43" s="5">
        <f t="shared" si="1"/>
        <v>39.333333333333336</v>
      </c>
      <c r="M43" s="7">
        <f t="shared" si="2"/>
        <v>43188</v>
      </c>
      <c r="N43" s="7"/>
      <c r="O43" s="7"/>
    </row>
    <row r="44" spans="1:15" x14ac:dyDescent="0.25">
      <c r="A44" t="s">
        <v>52</v>
      </c>
      <c r="B44" t="s">
        <v>1</v>
      </c>
      <c r="C44" t="s">
        <v>20</v>
      </c>
      <c r="D44">
        <v>5</v>
      </c>
      <c r="E44">
        <v>35000</v>
      </c>
      <c r="F44">
        <v>-19.605010052919301</v>
      </c>
      <c r="G44">
        <v>28.2654896821393</v>
      </c>
      <c r="H44">
        <v>2500</v>
      </c>
      <c r="I44">
        <v>300</v>
      </c>
      <c r="J44">
        <v>150</v>
      </c>
      <c r="K44" t="str">
        <f t="shared" si="0"/>
        <v>Houston → Dubai</v>
      </c>
      <c r="L44" s="5">
        <f t="shared" si="1"/>
        <v>60</v>
      </c>
      <c r="M44" s="7">
        <f t="shared" si="2"/>
        <v>45000</v>
      </c>
      <c r="N44" s="7"/>
      <c r="O44" s="7"/>
    </row>
    <row r="45" spans="1:15" x14ac:dyDescent="0.25">
      <c r="A45" t="s">
        <v>53</v>
      </c>
      <c r="B45" t="s">
        <v>11</v>
      </c>
      <c r="C45" t="s">
        <v>15</v>
      </c>
      <c r="D45">
        <v>12</v>
      </c>
      <c r="E45">
        <v>30000</v>
      </c>
      <c r="F45">
        <v>-104.693232453146</v>
      </c>
      <c r="G45">
        <v>71.709563985126294</v>
      </c>
      <c r="H45">
        <v>2500</v>
      </c>
      <c r="I45">
        <v>450</v>
      </c>
      <c r="J45">
        <v>50</v>
      </c>
      <c r="K45" t="str">
        <f t="shared" si="0"/>
        <v>Los Angeles → London</v>
      </c>
      <c r="L45" s="5">
        <f t="shared" si="1"/>
        <v>37.5</v>
      </c>
      <c r="M45" s="7">
        <f t="shared" si="2"/>
        <v>22500</v>
      </c>
      <c r="N45" s="7"/>
      <c r="O45" s="7"/>
    </row>
    <row r="46" spans="1:15" x14ac:dyDescent="0.25">
      <c r="A46" t="s">
        <v>54</v>
      </c>
      <c r="B46" t="s">
        <v>11</v>
      </c>
      <c r="C46" t="s">
        <v>20</v>
      </c>
      <c r="D46">
        <v>11</v>
      </c>
      <c r="E46">
        <v>30000</v>
      </c>
      <c r="F46">
        <v>-162.00754968251599</v>
      </c>
      <c r="G46">
        <v>-18.086618774351699</v>
      </c>
      <c r="H46">
        <v>2794</v>
      </c>
      <c r="I46">
        <v>402</v>
      </c>
      <c r="J46">
        <v>113</v>
      </c>
      <c r="K46" t="str">
        <f t="shared" si="0"/>
        <v>Los Angeles → Dubai</v>
      </c>
      <c r="L46" s="5">
        <f t="shared" si="1"/>
        <v>36.545454545454547</v>
      </c>
      <c r="M46" s="7">
        <f t="shared" si="2"/>
        <v>45426</v>
      </c>
      <c r="N46" s="7"/>
      <c r="O46" s="7"/>
    </row>
    <row r="47" spans="1:15" x14ac:dyDescent="0.25">
      <c r="A47" t="s">
        <v>55</v>
      </c>
      <c r="B47" t="s">
        <v>28</v>
      </c>
      <c r="C47" t="s">
        <v>20</v>
      </c>
      <c r="D47">
        <v>12</v>
      </c>
      <c r="E47">
        <v>32000</v>
      </c>
      <c r="F47">
        <v>123.713879058657</v>
      </c>
      <c r="G47">
        <v>-31.1769529456001</v>
      </c>
      <c r="H47">
        <v>3000</v>
      </c>
      <c r="I47">
        <v>450</v>
      </c>
      <c r="J47">
        <v>134</v>
      </c>
      <c r="K47" t="str">
        <f t="shared" si="0"/>
        <v>New York → Dubai</v>
      </c>
      <c r="L47" s="5">
        <f t="shared" si="1"/>
        <v>37.5</v>
      </c>
      <c r="M47" s="7">
        <f t="shared" si="2"/>
        <v>60300</v>
      </c>
      <c r="N47" s="7"/>
      <c r="O47" s="7"/>
    </row>
    <row r="48" spans="1:15" x14ac:dyDescent="0.25">
      <c r="A48" t="s">
        <v>56</v>
      </c>
      <c r="B48" t="s">
        <v>11</v>
      </c>
      <c r="C48" t="s">
        <v>2</v>
      </c>
      <c r="D48">
        <v>15</v>
      </c>
      <c r="E48">
        <v>30000</v>
      </c>
      <c r="F48">
        <v>173.229310499082</v>
      </c>
      <c r="G48">
        <v>-88.054004945664701</v>
      </c>
      <c r="H48">
        <v>3500</v>
      </c>
      <c r="I48">
        <v>397</v>
      </c>
      <c r="J48">
        <v>150</v>
      </c>
      <c r="K48" t="str">
        <f t="shared" si="0"/>
        <v>Los Angeles → Tokyo</v>
      </c>
      <c r="L48" s="5">
        <f t="shared" si="1"/>
        <v>26.466666666666665</v>
      </c>
      <c r="M48" s="7">
        <f t="shared" si="2"/>
        <v>59550</v>
      </c>
      <c r="N48" s="7"/>
      <c r="O48" s="7"/>
    </row>
    <row r="49" spans="1:15" x14ac:dyDescent="0.25">
      <c r="A49" t="s">
        <v>57</v>
      </c>
      <c r="B49" t="s">
        <v>4</v>
      </c>
      <c r="C49" t="s">
        <v>20</v>
      </c>
      <c r="D49">
        <v>12</v>
      </c>
      <c r="E49">
        <v>32000</v>
      </c>
      <c r="F49">
        <v>105.531434638826</v>
      </c>
      <c r="G49">
        <v>58.779193354463601</v>
      </c>
      <c r="H49">
        <v>2500</v>
      </c>
      <c r="I49">
        <v>600</v>
      </c>
      <c r="J49">
        <v>200</v>
      </c>
      <c r="K49" t="str">
        <f t="shared" si="0"/>
        <v>Miami → Dubai</v>
      </c>
      <c r="L49" s="5">
        <f t="shared" si="1"/>
        <v>50</v>
      </c>
      <c r="M49" s="7">
        <f t="shared" si="2"/>
        <v>120000</v>
      </c>
      <c r="N49" s="7"/>
      <c r="O49" s="7"/>
    </row>
    <row r="50" spans="1:15" x14ac:dyDescent="0.25">
      <c r="A50" t="s">
        <v>58</v>
      </c>
      <c r="B50" t="s">
        <v>11</v>
      </c>
      <c r="C50" t="s">
        <v>20</v>
      </c>
      <c r="D50">
        <v>9</v>
      </c>
      <c r="E50">
        <v>35000</v>
      </c>
      <c r="F50">
        <v>127.36257181368001</v>
      </c>
      <c r="G50">
        <v>54.176526072605697</v>
      </c>
      <c r="H50">
        <v>3000</v>
      </c>
      <c r="I50">
        <v>450</v>
      </c>
      <c r="J50">
        <v>150</v>
      </c>
      <c r="K50" t="str">
        <f t="shared" si="0"/>
        <v>Los Angeles → Dubai</v>
      </c>
      <c r="L50" s="5">
        <f t="shared" si="1"/>
        <v>50</v>
      </c>
      <c r="M50" s="7">
        <f t="shared" si="2"/>
        <v>67500</v>
      </c>
      <c r="N50" s="7"/>
      <c r="O50" s="7"/>
    </row>
    <row r="51" spans="1:15" x14ac:dyDescent="0.25">
      <c r="A51" t="s">
        <v>59</v>
      </c>
      <c r="B51" t="s">
        <v>1</v>
      </c>
      <c r="C51" t="s">
        <v>15</v>
      </c>
      <c r="D51">
        <v>8</v>
      </c>
      <c r="E51">
        <v>30000</v>
      </c>
      <c r="F51">
        <v>-92.888233085863703</v>
      </c>
      <c r="G51">
        <v>-71.198186741972705</v>
      </c>
      <c r="H51">
        <v>2846</v>
      </c>
      <c r="I51">
        <v>374</v>
      </c>
      <c r="J51">
        <v>138</v>
      </c>
      <c r="K51" t="str">
        <f t="shared" si="0"/>
        <v>Houston → London</v>
      </c>
      <c r="L51" s="5">
        <f t="shared" si="1"/>
        <v>46.75</v>
      </c>
      <c r="M51" s="7">
        <f t="shared" si="2"/>
        <v>51612</v>
      </c>
      <c r="N51" s="7"/>
      <c r="O51" s="7"/>
    </row>
    <row r="52" spans="1:15" x14ac:dyDescent="0.25">
      <c r="A52" t="s">
        <v>60</v>
      </c>
      <c r="B52" t="s">
        <v>1</v>
      </c>
      <c r="C52" t="s">
        <v>2</v>
      </c>
      <c r="D52">
        <v>10</v>
      </c>
      <c r="E52">
        <v>30000</v>
      </c>
      <c r="F52">
        <v>165.82571118475201</v>
      </c>
      <c r="G52">
        <v>13.834328603886</v>
      </c>
      <c r="H52">
        <v>3500</v>
      </c>
      <c r="I52">
        <v>300</v>
      </c>
      <c r="J52">
        <v>100</v>
      </c>
      <c r="K52" t="str">
        <f t="shared" si="0"/>
        <v>Houston → Tokyo</v>
      </c>
      <c r="L52" s="5">
        <f t="shared" si="1"/>
        <v>30</v>
      </c>
      <c r="M52" s="7">
        <f t="shared" si="2"/>
        <v>30000</v>
      </c>
      <c r="N52" s="7"/>
      <c r="O52" s="7"/>
    </row>
    <row r="53" spans="1:15" x14ac:dyDescent="0.25">
      <c r="A53" t="s">
        <v>61</v>
      </c>
      <c r="B53" t="s">
        <v>1</v>
      </c>
      <c r="C53" t="s">
        <v>9</v>
      </c>
      <c r="D53">
        <v>7</v>
      </c>
      <c r="E53">
        <v>35000</v>
      </c>
      <c r="F53">
        <v>-109.106746396766</v>
      </c>
      <c r="G53">
        <v>-6.4832943299602697</v>
      </c>
      <c r="H53">
        <v>3000</v>
      </c>
      <c r="I53">
        <v>450</v>
      </c>
      <c r="J53">
        <v>50</v>
      </c>
      <c r="K53" t="str">
        <f t="shared" si="0"/>
        <v>Houston → Sydney</v>
      </c>
      <c r="L53" s="5">
        <f t="shared" si="1"/>
        <v>64.285714285714292</v>
      </c>
      <c r="M53" s="7">
        <f t="shared" si="2"/>
        <v>22500</v>
      </c>
      <c r="N53" s="7"/>
      <c r="O53" s="7"/>
    </row>
    <row r="54" spans="1:15" x14ac:dyDescent="0.25">
      <c r="A54" t="s">
        <v>62</v>
      </c>
      <c r="B54" t="s">
        <v>1</v>
      </c>
      <c r="C54" t="s">
        <v>15</v>
      </c>
      <c r="D54">
        <v>9</v>
      </c>
      <c r="E54">
        <v>32000</v>
      </c>
      <c r="F54">
        <v>162.51473173026</v>
      </c>
      <c r="G54">
        <v>-68.6323628083599</v>
      </c>
      <c r="H54">
        <v>2000</v>
      </c>
      <c r="I54">
        <v>450</v>
      </c>
      <c r="J54">
        <v>50</v>
      </c>
      <c r="K54" t="str">
        <f t="shared" si="0"/>
        <v>Houston → London</v>
      </c>
      <c r="L54" s="5">
        <f t="shared" si="1"/>
        <v>50</v>
      </c>
      <c r="M54" s="7">
        <f t="shared" si="2"/>
        <v>22500</v>
      </c>
      <c r="N54" s="7"/>
      <c r="O54" s="7"/>
    </row>
    <row r="55" spans="1:15" x14ac:dyDescent="0.25">
      <c r="A55" t="s">
        <v>63</v>
      </c>
      <c r="B55" t="s">
        <v>4</v>
      </c>
      <c r="C55" t="s">
        <v>15</v>
      </c>
      <c r="D55">
        <v>8</v>
      </c>
      <c r="E55">
        <v>30000</v>
      </c>
      <c r="F55">
        <v>178.134945827742</v>
      </c>
      <c r="G55">
        <v>86.502280870930207</v>
      </c>
      <c r="H55">
        <v>2000</v>
      </c>
      <c r="I55">
        <v>150</v>
      </c>
      <c r="J55">
        <v>100</v>
      </c>
      <c r="K55" t="str">
        <f t="shared" si="0"/>
        <v>Miami → London</v>
      </c>
      <c r="L55" s="5">
        <f t="shared" si="1"/>
        <v>18.75</v>
      </c>
      <c r="M55" s="7">
        <f t="shared" si="2"/>
        <v>15000</v>
      </c>
      <c r="N55" s="7"/>
      <c r="O55" s="7"/>
    </row>
    <row r="56" spans="1:15" x14ac:dyDescent="0.25">
      <c r="A56" t="s">
        <v>64</v>
      </c>
      <c r="B56" t="s">
        <v>6</v>
      </c>
      <c r="C56" t="s">
        <v>9</v>
      </c>
      <c r="D56">
        <v>9</v>
      </c>
      <c r="E56">
        <v>30000</v>
      </c>
      <c r="F56">
        <v>76.2202100685776</v>
      </c>
      <c r="G56">
        <v>-51.354740256596003</v>
      </c>
      <c r="H56">
        <v>2678</v>
      </c>
      <c r="I56">
        <v>356</v>
      </c>
      <c r="J56">
        <v>137</v>
      </c>
      <c r="K56" t="str">
        <f t="shared" si="0"/>
        <v>Chicago → Sydney</v>
      </c>
      <c r="L56" s="5">
        <f t="shared" si="1"/>
        <v>39.555555555555557</v>
      </c>
      <c r="M56" s="7">
        <f t="shared" si="2"/>
        <v>48772</v>
      </c>
      <c r="N56" s="7"/>
      <c r="O56" s="7"/>
    </row>
    <row r="57" spans="1:15" x14ac:dyDescent="0.25">
      <c r="A57" t="s">
        <v>65</v>
      </c>
      <c r="B57" t="s">
        <v>28</v>
      </c>
      <c r="C57" t="s">
        <v>20</v>
      </c>
      <c r="D57">
        <v>11</v>
      </c>
      <c r="E57">
        <v>30000</v>
      </c>
      <c r="F57">
        <v>173.21174344505599</v>
      </c>
      <c r="G57">
        <v>-77.897847583699004</v>
      </c>
      <c r="H57">
        <v>2588</v>
      </c>
      <c r="I57">
        <v>402</v>
      </c>
      <c r="J57">
        <v>134</v>
      </c>
      <c r="K57" t="str">
        <f t="shared" si="0"/>
        <v>New York → Dubai</v>
      </c>
      <c r="L57" s="5">
        <f t="shared" si="1"/>
        <v>36.545454545454547</v>
      </c>
      <c r="M57" s="7">
        <f t="shared" si="2"/>
        <v>53868</v>
      </c>
      <c r="N57" s="7"/>
      <c r="O57" s="7"/>
    </row>
    <row r="58" spans="1:15" x14ac:dyDescent="0.25">
      <c r="A58" t="s">
        <v>66</v>
      </c>
      <c r="B58" t="s">
        <v>1</v>
      </c>
      <c r="C58" t="s">
        <v>13</v>
      </c>
      <c r="D58">
        <v>9</v>
      </c>
      <c r="E58">
        <v>30000</v>
      </c>
      <c r="F58">
        <v>25.034320644157301</v>
      </c>
      <c r="G58">
        <v>17.072528310343699</v>
      </c>
      <c r="H58">
        <v>2647</v>
      </c>
      <c r="I58">
        <v>354</v>
      </c>
      <c r="J58">
        <v>113</v>
      </c>
      <c r="K58" t="str">
        <f t="shared" si="0"/>
        <v>Houston → Paris</v>
      </c>
      <c r="L58" s="5">
        <f t="shared" si="1"/>
        <v>39.333333333333336</v>
      </c>
      <c r="M58" s="7">
        <f t="shared" si="2"/>
        <v>40002</v>
      </c>
      <c r="N58" s="7"/>
      <c r="O58" s="7"/>
    </row>
    <row r="59" spans="1:15" x14ac:dyDescent="0.25">
      <c r="A59" t="s">
        <v>67</v>
      </c>
      <c r="B59" t="s">
        <v>11</v>
      </c>
      <c r="C59" t="s">
        <v>2</v>
      </c>
      <c r="D59">
        <v>9</v>
      </c>
      <c r="E59">
        <v>30000</v>
      </c>
      <c r="F59">
        <v>-86.564958056607495</v>
      </c>
      <c r="G59">
        <v>42.996001883945901</v>
      </c>
      <c r="H59">
        <v>3500</v>
      </c>
      <c r="I59">
        <v>600</v>
      </c>
      <c r="J59">
        <v>50</v>
      </c>
      <c r="K59" t="str">
        <f t="shared" si="0"/>
        <v>Los Angeles → Tokyo</v>
      </c>
      <c r="L59" s="5">
        <f t="shared" si="1"/>
        <v>66.666666666666671</v>
      </c>
      <c r="M59" s="7">
        <f t="shared" si="2"/>
        <v>30000</v>
      </c>
      <c r="N59" s="7"/>
      <c r="O59" s="7"/>
    </row>
    <row r="60" spans="1:15" x14ac:dyDescent="0.25">
      <c r="A60" t="s">
        <v>68</v>
      </c>
      <c r="B60" t="s">
        <v>1</v>
      </c>
      <c r="C60" t="s">
        <v>13</v>
      </c>
      <c r="D60">
        <v>9</v>
      </c>
      <c r="E60">
        <v>35000</v>
      </c>
      <c r="F60">
        <v>-22.681481160376499</v>
      </c>
      <c r="G60">
        <v>-84.160179711506302</v>
      </c>
      <c r="H60">
        <v>3000</v>
      </c>
      <c r="I60">
        <v>450</v>
      </c>
      <c r="J60">
        <v>200</v>
      </c>
      <c r="K60" t="str">
        <f t="shared" si="0"/>
        <v>Houston → Paris</v>
      </c>
      <c r="L60" s="5">
        <f t="shared" si="1"/>
        <v>50</v>
      </c>
      <c r="M60" s="7">
        <f t="shared" si="2"/>
        <v>90000</v>
      </c>
      <c r="N60" s="7"/>
      <c r="O60" s="7"/>
    </row>
    <row r="61" spans="1:15" x14ac:dyDescent="0.25">
      <c r="A61" t="s">
        <v>69</v>
      </c>
      <c r="B61" t="s">
        <v>11</v>
      </c>
      <c r="C61" t="s">
        <v>9</v>
      </c>
      <c r="D61">
        <v>8</v>
      </c>
      <c r="E61">
        <v>30000</v>
      </c>
      <c r="F61">
        <v>33.681936736362999</v>
      </c>
      <c r="G61">
        <v>28.569174970864001</v>
      </c>
      <c r="H61">
        <v>3000</v>
      </c>
      <c r="I61">
        <v>356</v>
      </c>
      <c r="J61">
        <v>145</v>
      </c>
      <c r="K61" t="str">
        <f t="shared" si="0"/>
        <v>Los Angeles → Sydney</v>
      </c>
      <c r="L61" s="5">
        <f t="shared" si="1"/>
        <v>44.5</v>
      </c>
      <c r="M61" s="7">
        <f t="shared" si="2"/>
        <v>51620</v>
      </c>
      <c r="N61" s="7"/>
      <c r="O61" s="7"/>
    </row>
    <row r="62" spans="1:15" x14ac:dyDescent="0.25">
      <c r="A62" t="s">
        <v>70</v>
      </c>
      <c r="B62" t="s">
        <v>11</v>
      </c>
      <c r="C62" t="s">
        <v>15</v>
      </c>
      <c r="D62">
        <v>8</v>
      </c>
      <c r="E62">
        <v>30000</v>
      </c>
      <c r="F62">
        <v>-153.69063767027501</v>
      </c>
      <c r="G62">
        <v>5.81253767126179</v>
      </c>
      <c r="H62">
        <v>2760</v>
      </c>
      <c r="I62">
        <v>374</v>
      </c>
      <c r="J62">
        <v>131</v>
      </c>
      <c r="K62" t="str">
        <f t="shared" si="0"/>
        <v>Los Angeles → London</v>
      </c>
      <c r="L62" s="5">
        <f t="shared" si="1"/>
        <v>46.75</v>
      </c>
      <c r="M62" s="7">
        <f t="shared" si="2"/>
        <v>48994</v>
      </c>
      <c r="N62" s="7"/>
      <c r="O62" s="7"/>
    </row>
    <row r="63" spans="1:15" x14ac:dyDescent="0.25">
      <c r="A63" t="s">
        <v>71</v>
      </c>
      <c r="B63" t="s">
        <v>1</v>
      </c>
      <c r="C63" t="s">
        <v>15</v>
      </c>
      <c r="D63">
        <v>12</v>
      </c>
      <c r="E63">
        <v>30000</v>
      </c>
      <c r="F63">
        <v>44.043575262208599</v>
      </c>
      <c r="G63">
        <v>-71.412298402491302</v>
      </c>
      <c r="H63">
        <v>3500</v>
      </c>
      <c r="I63">
        <v>150</v>
      </c>
      <c r="J63">
        <v>138</v>
      </c>
      <c r="K63" t="str">
        <f t="shared" si="0"/>
        <v>Houston → London</v>
      </c>
      <c r="L63" s="5">
        <f t="shared" si="1"/>
        <v>12.5</v>
      </c>
      <c r="M63" s="7">
        <f t="shared" si="2"/>
        <v>20700</v>
      </c>
      <c r="N63" s="7"/>
      <c r="O63" s="7"/>
    </row>
    <row r="64" spans="1:15" x14ac:dyDescent="0.25">
      <c r="A64" t="s">
        <v>72</v>
      </c>
      <c r="B64" t="s">
        <v>4</v>
      </c>
      <c r="C64" t="s">
        <v>2</v>
      </c>
      <c r="D64">
        <v>7</v>
      </c>
      <c r="E64">
        <v>30000</v>
      </c>
      <c r="F64">
        <v>173.224021234426</v>
      </c>
      <c r="G64">
        <v>-58.945702149654799</v>
      </c>
      <c r="H64">
        <v>2729</v>
      </c>
      <c r="I64">
        <v>450</v>
      </c>
      <c r="J64">
        <v>126</v>
      </c>
      <c r="K64" t="str">
        <f t="shared" si="0"/>
        <v>Miami → Tokyo</v>
      </c>
      <c r="L64" s="5">
        <f t="shared" si="1"/>
        <v>64.285714285714292</v>
      </c>
      <c r="M64" s="7">
        <f t="shared" si="2"/>
        <v>56700</v>
      </c>
      <c r="N64" s="7"/>
      <c r="O64" s="7"/>
    </row>
    <row r="65" spans="1:15" x14ac:dyDescent="0.25">
      <c r="A65" t="s">
        <v>73</v>
      </c>
      <c r="B65" t="s">
        <v>11</v>
      </c>
      <c r="C65" t="s">
        <v>15</v>
      </c>
      <c r="D65">
        <v>8</v>
      </c>
      <c r="E65">
        <v>30000</v>
      </c>
      <c r="F65">
        <v>-111.561246077858</v>
      </c>
      <c r="G65">
        <v>12.2353735168945</v>
      </c>
      <c r="H65">
        <v>2760</v>
      </c>
      <c r="I65">
        <v>374</v>
      </c>
      <c r="J65">
        <v>131</v>
      </c>
      <c r="K65" t="str">
        <f t="shared" si="0"/>
        <v>Los Angeles → London</v>
      </c>
      <c r="L65" s="5">
        <f t="shared" si="1"/>
        <v>46.75</v>
      </c>
      <c r="M65" s="7">
        <f t="shared" si="2"/>
        <v>48994</v>
      </c>
      <c r="N65" s="7"/>
      <c r="O65" s="7"/>
    </row>
    <row r="66" spans="1:15" x14ac:dyDescent="0.25">
      <c r="A66" t="s">
        <v>74</v>
      </c>
      <c r="B66" t="s">
        <v>11</v>
      </c>
      <c r="C66" t="s">
        <v>15</v>
      </c>
      <c r="D66">
        <v>5</v>
      </c>
      <c r="E66">
        <v>30000</v>
      </c>
      <c r="F66">
        <v>105.33424186381799</v>
      </c>
      <c r="G66">
        <v>-36.655629567608102</v>
      </c>
      <c r="H66">
        <v>2000</v>
      </c>
      <c r="I66">
        <v>600</v>
      </c>
      <c r="J66">
        <v>200</v>
      </c>
      <c r="K66" t="str">
        <f t="shared" si="0"/>
        <v>Los Angeles → London</v>
      </c>
      <c r="L66" s="5">
        <f t="shared" si="1"/>
        <v>120</v>
      </c>
      <c r="M66" s="7">
        <f t="shared" si="2"/>
        <v>120000</v>
      </c>
      <c r="N66" s="7"/>
      <c r="O66" s="7"/>
    </row>
    <row r="67" spans="1:15" x14ac:dyDescent="0.25">
      <c r="A67" t="s">
        <v>75</v>
      </c>
      <c r="B67" t="s">
        <v>1</v>
      </c>
      <c r="C67" t="s">
        <v>2</v>
      </c>
      <c r="D67">
        <v>10</v>
      </c>
      <c r="E67">
        <v>30000</v>
      </c>
      <c r="F67">
        <v>146.84356576066301</v>
      </c>
      <c r="G67">
        <v>78.896831157236903</v>
      </c>
      <c r="H67">
        <v>2550</v>
      </c>
      <c r="I67">
        <v>397</v>
      </c>
      <c r="J67">
        <v>120</v>
      </c>
      <c r="K67" t="str">
        <f t="shared" ref="K67:K130" si="3">B67 &amp; " → " &amp; C67</f>
        <v>Houston → Tokyo</v>
      </c>
      <c r="L67" s="5">
        <f t="shared" ref="L67:L130" si="4">I67/D67</f>
        <v>39.700000000000003</v>
      </c>
      <c r="M67" s="7">
        <f t="shared" ref="M67:M130" si="5">I67*J67</f>
        <v>47640</v>
      </c>
      <c r="N67" s="7"/>
      <c r="O67" s="7"/>
    </row>
    <row r="68" spans="1:15" x14ac:dyDescent="0.25">
      <c r="A68" t="s">
        <v>76</v>
      </c>
      <c r="B68" t="s">
        <v>11</v>
      </c>
      <c r="C68" t="s">
        <v>2</v>
      </c>
      <c r="D68">
        <v>10</v>
      </c>
      <c r="E68">
        <v>30000</v>
      </c>
      <c r="F68">
        <v>159.73257341527901</v>
      </c>
      <c r="G68">
        <v>57.373241307129099</v>
      </c>
      <c r="H68">
        <v>2586</v>
      </c>
      <c r="I68">
        <v>397</v>
      </c>
      <c r="J68">
        <v>119</v>
      </c>
      <c r="K68" t="str">
        <f t="shared" si="3"/>
        <v>Los Angeles → Tokyo</v>
      </c>
      <c r="L68" s="5">
        <f t="shared" si="4"/>
        <v>39.700000000000003</v>
      </c>
      <c r="M68" s="7">
        <f t="shared" si="5"/>
        <v>47243</v>
      </c>
      <c r="N68" s="7"/>
      <c r="O68" s="7"/>
    </row>
    <row r="69" spans="1:15" x14ac:dyDescent="0.25">
      <c r="A69" t="s">
        <v>77</v>
      </c>
      <c r="B69" t="s">
        <v>11</v>
      </c>
      <c r="C69" t="s">
        <v>9</v>
      </c>
      <c r="D69">
        <v>8</v>
      </c>
      <c r="E69">
        <v>30000</v>
      </c>
      <c r="F69">
        <v>165.64881758596101</v>
      </c>
      <c r="G69">
        <v>87.042097172459293</v>
      </c>
      <c r="H69">
        <v>3000</v>
      </c>
      <c r="I69">
        <v>356</v>
      </c>
      <c r="J69">
        <v>145</v>
      </c>
      <c r="K69" t="str">
        <f t="shared" si="3"/>
        <v>Los Angeles → Sydney</v>
      </c>
      <c r="L69" s="5">
        <f t="shared" si="4"/>
        <v>44.5</v>
      </c>
      <c r="M69" s="7">
        <f t="shared" si="5"/>
        <v>51620</v>
      </c>
      <c r="N69" s="7"/>
      <c r="O69" s="7"/>
    </row>
    <row r="70" spans="1:15" x14ac:dyDescent="0.25">
      <c r="A70" t="s">
        <v>78</v>
      </c>
      <c r="B70" t="s">
        <v>1</v>
      </c>
      <c r="C70" t="s">
        <v>15</v>
      </c>
      <c r="D70">
        <v>12</v>
      </c>
      <c r="E70">
        <v>30000</v>
      </c>
      <c r="F70">
        <v>7.7254699397298898</v>
      </c>
      <c r="G70">
        <v>-43.259248988925499</v>
      </c>
      <c r="H70">
        <v>2500</v>
      </c>
      <c r="I70">
        <v>600</v>
      </c>
      <c r="J70">
        <v>200</v>
      </c>
      <c r="K70" t="str">
        <f t="shared" si="3"/>
        <v>Houston → London</v>
      </c>
      <c r="L70" s="5">
        <f t="shared" si="4"/>
        <v>50</v>
      </c>
      <c r="M70" s="7">
        <f t="shared" si="5"/>
        <v>120000</v>
      </c>
      <c r="N70" s="7"/>
      <c r="O70" s="7"/>
    </row>
    <row r="71" spans="1:15" x14ac:dyDescent="0.25">
      <c r="A71" t="s">
        <v>79</v>
      </c>
      <c r="B71" t="s">
        <v>1</v>
      </c>
      <c r="C71" t="s">
        <v>15</v>
      </c>
      <c r="D71">
        <v>8</v>
      </c>
      <c r="E71">
        <v>30000</v>
      </c>
      <c r="F71">
        <v>171.830846876941</v>
      </c>
      <c r="G71">
        <v>84.550253903635905</v>
      </c>
      <c r="H71">
        <v>2846</v>
      </c>
      <c r="I71">
        <v>374</v>
      </c>
      <c r="J71">
        <v>138</v>
      </c>
      <c r="K71" t="str">
        <f t="shared" si="3"/>
        <v>Houston → London</v>
      </c>
      <c r="L71" s="5">
        <f t="shared" si="4"/>
        <v>46.75</v>
      </c>
      <c r="M71" s="7">
        <f t="shared" si="5"/>
        <v>51612</v>
      </c>
      <c r="N71" s="7"/>
      <c r="O71" s="7"/>
    </row>
    <row r="72" spans="1:15" x14ac:dyDescent="0.25">
      <c r="A72" t="s">
        <v>80</v>
      </c>
      <c r="B72" t="s">
        <v>28</v>
      </c>
      <c r="C72" t="s">
        <v>9</v>
      </c>
      <c r="D72">
        <v>9</v>
      </c>
      <c r="E72">
        <v>30000</v>
      </c>
      <c r="F72">
        <v>92.631674568397997</v>
      </c>
      <c r="G72">
        <v>-12.377903437519601</v>
      </c>
      <c r="H72">
        <v>2800</v>
      </c>
      <c r="I72">
        <v>356</v>
      </c>
      <c r="J72">
        <v>120</v>
      </c>
      <c r="K72" t="str">
        <f t="shared" si="3"/>
        <v>New York → Sydney</v>
      </c>
      <c r="L72" s="5">
        <f t="shared" si="4"/>
        <v>39.555555555555557</v>
      </c>
      <c r="M72" s="7">
        <f t="shared" si="5"/>
        <v>42720</v>
      </c>
      <c r="N72" s="7"/>
      <c r="O72" s="7"/>
    </row>
    <row r="73" spans="1:15" x14ac:dyDescent="0.25">
      <c r="A73" t="s">
        <v>81</v>
      </c>
      <c r="B73" t="s">
        <v>4</v>
      </c>
      <c r="C73" t="s">
        <v>20</v>
      </c>
      <c r="D73">
        <v>7</v>
      </c>
      <c r="E73">
        <v>30000</v>
      </c>
      <c r="F73">
        <v>-121.798282954694</v>
      </c>
      <c r="G73">
        <v>-27.4466168435242</v>
      </c>
      <c r="H73">
        <v>2000</v>
      </c>
      <c r="I73">
        <v>300</v>
      </c>
      <c r="J73">
        <v>128</v>
      </c>
      <c r="K73" t="str">
        <f t="shared" si="3"/>
        <v>Miami → Dubai</v>
      </c>
      <c r="L73" s="5">
        <f t="shared" si="4"/>
        <v>42.857142857142854</v>
      </c>
      <c r="M73" s="7">
        <f t="shared" si="5"/>
        <v>38400</v>
      </c>
      <c r="N73" s="7"/>
      <c r="O73" s="7"/>
    </row>
    <row r="74" spans="1:15" x14ac:dyDescent="0.25">
      <c r="A74" t="s">
        <v>82</v>
      </c>
      <c r="B74" t="s">
        <v>4</v>
      </c>
      <c r="C74" t="s">
        <v>20</v>
      </c>
      <c r="D74">
        <v>9</v>
      </c>
      <c r="E74">
        <v>30000</v>
      </c>
      <c r="F74">
        <v>-8.3159616715308005</v>
      </c>
      <c r="G74">
        <v>-80.937085145516406</v>
      </c>
      <c r="H74">
        <v>2700</v>
      </c>
      <c r="I74">
        <v>402</v>
      </c>
      <c r="J74">
        <v>128</v>
      </c>
      <c r="K74" t="str">
        <f t="shared" si="3"/>
        <v>Miami → Dubai</v>
      </c>
      <c r="L74" s="5">
        <f t="shared" si="4"/>
        <v>44.666666666666664</v>
      </c>
      <c r="M74" s="7">
        <f t="shared" si="5"/>
        <v>51456</v>
      </c>
      <c r="N74" s="7"/>
      <c r="O74" s="7"/>
    </row>
    <row r="75" spans="1:15" x14ac:dyDescent="0.25">
      <c r="A75" t="s">
        <v>83</v>
      </c>
      <c r="B75" t="s">
        <v>11</v>
      </c>
      <c r="C75" t="s">
        <v>20</v>
      </c>
      <c r="D75">
        <v>11</v>
      </c>
      <c r="E75">
        <v>30000</v>
      </c>
      <c r="F75">
        <v>78.599223133921399</v>
      </c>
      <c r="G75">
        <v>-80.502253585271504</v>
      </c>
      <c r="H75">
        <v>2794</v>
      </c>
      <c r="I75">
        <v>402</v>
      </c>
      <c r="J75">
        <v>113</v>
      </c>
      <c r="K75" t="str">
        <f t="shared" si="3"/>
        <v>Los Angeles → Dubai</v>
      </c>
      <c r="L75" s="5">
        <f t="shared" si="4"/>
        <v>36.545454545454547</v>
      </c>
      <c r="M75" s="7">
        <f t="shared" si="5"/>
        <v>45426</v>
      </c>
      <c r="N75" s="7"/>
      <c r="O75" s="7"/>
    </row>
    <row r="76" spans="1:15" x14ac:dyDescent="0.25">
      <c r="A76" t="s">
        <v>84</v>
      </c>
      <c r="B76" t="s">
        <v>4</v>
      </c>
      <c r="C76" t="s">
        <v>9</v>
      </c>
      <c r="D76">
        <v>15</v>
      </c>
      <c r="E76">
        <v>32000</v>
      </c>
      <c r="F76">
        <v>-90.957486305130004</v>
      </c>
      <c r="G76">
        <v>34.562026070397799</v>
      </c>
      <c r="H76">
        <v>2000</v>
      </c>
      <c r="I76">
        <v>356</v>
      </c>
      <c r="J76">
        <v>50</v>
      </c>
      <c r="K76" t="str">
        <f t="shared" si="3"/>
        <v>Miami → Sydney</v>
      </c>
      <c r="L76" s="5">
        <f t="shared" si="4"/>
        <v>23.733333333333334</v>
      </c>
      <c r="M76" s="7">
        <f t="shared" si="5"/>
        <v>17800</v>
      </c>
      <c r="N76" s="7"/>
      <c r="O76" s="7"/>
    </row>
    <row r="77" spans="1:15" x14ac:dyDescent="0.25">
      <c r="A77" t="s">
        <v>85</v>
      </c>
      <c r="B77" t="s">
        <v>11</v>
      </c>
      <c r="C77" t="s">
        <v>15</v>
      </c>
      <c r="D77">
        <v>15</v>
      </c>
      <c r="E77">
        <v>30000</v>
      </c>
      <c r="F77">
        <v>50.6214660775995</v>
      </c>
      <c r="G77">
        <v>-7.5727810018749704</v>
      </c>
      <c r="H77">
        <v>3500</v>
      </c>
      <c r="I77">
        <v>300</v>
      </c>
      <c r="J77">
        <v>131</v>
      </c>
      <c r="K77" t="str">
        <f t="shared" si="3"/>
        <v>Los Angeles → London</v>
      </c>
      <c r="L77" s="5">
        <f t="shared" si="4"/>
        <v>20</v>
      </c>
      <c r="M77" s="7">
        <f t="shared" si="5"/>
        <v>39300</v>
      </c>
      <c r="N77" s="7"/>
      <c r="O77" s="7"/>
    </row>
    <row r="78" spans="1:15" x14ac:dyDescent="0.25">
      <c r="A78" t="s">
        <v>86</v>
      </c>
      <c r="B78" t="s">
        <v>28</v>
      </c>
      <c r="C78" t="s">
        <v>9</v>
      </c>
      <c r="D78">
        <v>9</v>
      </c>
      <c r="E78">
        <v>30000</v>
      </c>
      <c r="F78">
        <v>59.976172456782898</v>
      </c>
      <c r="G78">
        <v>-49.226107313500997</v>
      </c>
      <c r="H78">
        <v>2800</v>
      </c>
      <c r="I78">
        <v>356</v>
      </c>
      <c r="J78">
        <v>120</v>
      </c>
      <c r="K78" t="str">
        <f t="shared" si="3"/>
        <v>New York → Sydney</v>
      </c>
      <c r="L78" s="5">
        <f t="shared" si="4"/>
        <v>39.555555555555557</v>
      </c>
      <c r="M78" s="7">
        <f t="shared" si="5"/>
        <v>42720</v>
      </c>
      <c r="N78" s="7"/>
      <c r="O78" s="7"/>
    </row>
    <row r="79" spans="1:15" x14ac:dyDescent="0.25">
      <c r="A79" t="s">
        <v>87</v>
      </c>
      <c r="B79" t="s">
        <v>1</v>
      </c>
      <c r="C79" t="s">
        <v>9</v>
      </c>
      <c r="D79">
        <v>9</v>
      </c>
      <c r="E79">
        <v>30000</v>
      </c>
      <c r="F79">
        <v>-121.428092228916</v>
      </c>
      <c r="G79">
        <v>20.514655138541901</v>
      </c>
      <c r="H79">
        <v>2500</v>
      </c>
      <c r="I79">
        <v>356</v>
      </c>
      <c r="J79">
        <v>127</v>
      </c>
      <c r="K79" t="str">
        <f t="shared" si="3"/>
        <v>Houston → Sydney</v>
      </c>
      <c r="L79" s="5">
        <f t="shared" si="4"/>
        <v>39.555555555555557</v>
      </c>
      <c r="M79" s="7">
        <f t="shared" si="5"/>
        <v>45212</v>
      </c>
      <c r="N79" s="7"/>
      <c r="O79" s="7"/>
    </row>
    <row r="80" spans="1:15" x14ac:dyDescent="0.25">
      <c r="A80" t="s">
        <v>88</v>
      </c>
      <c r="B80" t="s">
        <v>1</v>
      </c>
      <c r="C80" t="s">
        <v>20</v>
      </c>
      <c r="D80">
        <v>8</v>
      </c>
      <c r="E80">
        <v>30000</v>
      </c>
      <c r="F80">
        <v>23.430712482992199</v>
      </c>
      <c r="G80">
        <v>-44.485538714980002</v>
      </c>
      <c r="H80">
        <v>2500</v>
      </c>
      <c r="I80">
        <v>402</v>
      </c>
      <c r="J80">
        <v>111</v>
      </c>
      <c r="K80" t="str">
        <f t="shared" si="3"/>
        <v>Houston → Dubai</v>
      </c>
      <c r="L80" s="5">
        <f t="shared" si="4"/>
        <v>50.25</v>
      </c>
      <c r="M80" s="7">
        <f t="shared" si="5"/>
        <v>44622</v>
      </c>
      <c r="N80" s="7"/>
      <c r="O80" s="7"/>
    </row>
    <row r="81" spans="1:15" x14ac:dyDescent="0.25">
      <c r="A81" t="s">
        <v>89</v>
      </c>
      <c r="B81" t="s">
        <v>1</v>
      </c>
      <c r="C81" t="s">
        <v>13</v>
      </c>
      <c r="D81">
        <v>9</v>
      </c>
      <c r="E81">
        <v>30000</v>
      </c>
      <c r="F81">
        <v>97.785687952298801</v>
      </c>
      <c r="G81">
        <v>13.9737157819961</v>
      </c>
      <c r="H81">
        <v>2647</v>
      </c>
      <c r="I81">
        <v>354</v>
      </c>
      <c r="J81">
        <v>113</v>
      </c>
      <c r="K81" t="str">
        <f t="shared" si="3"/>
        <v>Houston → Paris</v>
      </c>
      <c r="L81" s="5">
        <f t="shared" si="4"/>
        <v>39.333333333333336</v>
      </c>
      <c r="M81" s="7">
        <f t="shared" si="5"/>
        <v>40002</v>
      </c>
      <c r="N81" s="7"/>
      <c r="O81" s="7"/>
    </row>
    <row r="82" spans="1:15" x14ac:dyDescent="0.25">
      <c r="A82" t="s">
        <v>90</v>
      </c>
      <c r="B82" t="s">
        <v>4</v>
      </c>
      <c r="C82" t="s">
        <v>15</v>
      </c>
      <c r="D82">
        <v>5</v>
      </c>
      <c r="E82">
        <v>35000</v>
      </c>
      <c r="F82">
        <v>-0.39756076706089499</v>
      </c>
      <c r="G82">
        <v>-25.342425543115699</v>
      </c>
      <c r="H82">
        <v>2000</v>
      </c>
      <c r="I82">
        <v>600</v>
      </c>
      <c r="J82">
        <v>150</v>
      </c>
      <c r="K82" t="str">
        <f t="shared" si="3"/>
        <v>Miami → London</v>
      </c>
      <c r="L82" s="5">
        <f t="shared" si="4"/>
        <v>120</v>
      </c>
      <c r="M82" s="7">
        <f t="shared" si="5"/>
        <v>90000</v>
      </c>
      <c r="N82" s="7"/>
      <c r="O82" s="7"/>
    </row>
    <row r="83" spans="1:15" x14ac:dyDescent="0.25">
      <c r="A83" t="s">
        <v>91</v>
      </c>
      <c r="B83" t="s">
        <v>28</v>
      </c>
      <c r="C83" t="s">
        <v>20</v>
      </c>
      <c r="D83">
        <v>11</v>
      </c>
      <c r="E83">
        <v>30000</v>
      </c>
      <c r="F83">
        <v>-175.642877960601</v>
      </c>
      <c r="G83">
        <v>58.239400790127398</v>
      </c>
      <c r="H83">
        <v>2588</v>
      </c>
      <c r="I83">
        <v>402</v>
      </c>
      <c r="J83">
        <v>134</v>
      </c>
      <c r="K83" t="str">
        <f t="shared" si="3"/>
        <v>New York → Dubai</v>
      </c>
      <c r="L83" s="5">
        <f t="shared" si="4"/>
        <v>36.545454545454547</v>
      </c>
      <c r="M83" s="7">
        <f t="shared" si="5"/>
        <v>53868</v>
      </c>
      <c r="N83" s="7"/>
      <c r="O83" s="7"/>
    </row>
    <row r="84" spans="1:15" x14ac:dyDescent="0.25">
      <c r="A84" t="s">
        <v>92</v>
      </c>
      <c r="B84" t="s">
        <v>4</v>
      </c>
      <c r="C84" t="s">
        <v>13</v>
      </c>
      <c r="D84">
        <v>8</v>
      </c>
      <c r="E84">
        <v>30000</v>
      </c>
      <c r="F84">
        <v>-176.74615113145501</v>
      </c>
      <c r="G84">
        <v>57.725308938020298</v>
      </c>
      <c r="H84">
        <v>2718</v>
      </c>
      <c r="I84">
        <v>354</v>
      </c>
      <c r="J84">
        <v>115</v>
      </c>
      <c r="K84" t="str">
        <f t="shared" si="3"/>
        <v>Miami → Paris</v>
      </c>
      <c r="L84" s="5">
        <f t="shared" si="4"/>
        <v>44.25</v>
      </c>
      <c r="M84" s="7">
        <f t="shared" si="5"/>
        <v>40710</v>
      </c>
      <c r="N84" s="7"/>
      <c r="O84" s="7"/>
    </row>
    <row r="85" spans="1:15" x14ac:dyDescent="0.25">
      <c r="A85" t="s">
        <v>93</v>
      </c>
      <c r="B85" t="s">
        <v>4</v>
      </c>
      <c r="C85" t="s">
        <v>13</v>
      </c>
      <c r="D85">
        <v>12</v>
      </c>
      <c r="E85">
        <v>30000</v>
      </c>
      <c r="F85">
        <v>-51.469436170795603</v>
      </c>
      <c r="G85">
        <v>-4.0769283379677601</v>
      </c>
      <c r="H85">
        <v>2718</v>
      </c>
      <c r="I85">
        <v>300</v>
      </c>
      <c r="J85">
        <v>200</v>
      </c>
      <c r="K85" t="str">
        <f t="shared" si="3"/>
        <v>Miami → Paris</v>
      </c>
      <c r="L85" s="5">
        <f t="shared" si="4"/>
        <v>25</v>
      </c>
      <c r="M85" s="7">
        <f t="shared" si="5"/>
        <v>60000</v>
      </c>
      <c r="N85" s="7"/>
      <c r="O85" s="7"/>
    </row>
    <row r="86" spans="1:15" x14ac:dyDescent="0.25">
      <c r="A86" t="s">
        <v>94</v>
      </c>
      <c r="B86" t="s">
        <v>28</v>
      </c>
      <c r="C86" t="s">
        <v>2</v>
      </c>
      <c r="D86">
        <v>9</v>
      </c>
      <c r="E86">
        <v>30000</v>
      </c>
      <c r="F86">
        <v>153.42986463544199</v>
      </c>
      <c r="G86">
        <v>-26.852560319697201</v>
      </c>
      <c r="H86">
        <v>2954</v>
      </c>
      <c r="I86">
        <v>397</v>
      </c>
      <c r="J86">
        <v>128</v>
      </c>
      <c r="K86" t="str">
        <f t="shared" si="3"/>
        <v>New York → Tokyo</v>
      </c>
      <c r="L86" s="5">
        <f t="shared" si="4"/>
        <v>44.111111111111114</v>
      </c>
      <c r="M86" s="7">
        <f t="shared" si="5"/>
        <v>50816</v>
      </c>
      <c r="N86" s="7"/>
      <c r="O86" s="7"/>
    </row>
    <row r="87" spans="1:15" x14ac:dyDescent="0.25">
      <c r="A87" t="s">
        <v>95</v>
      </c>
      <c r="B87" t="s">
        <v>28</v>
      </c>
      <c r="C87" t="s">
        <v>15</v>
      </c>
      <c r="D87">
        <v>9</v>
      </c>
      <c r="E87">
        <v>32000</v>
      </c>
      <c r="F87">
        <v>-97.676359342700806</v>
      </c>
      <c r="G87">
        <v>-24.739236619362998</v>
      </c>
      <c r="H87">
        <v>2000</v>
      </c>
      <c r="I87">
        <v>600</v>
      </c>
      <c r="J87">
        <v>50</v>
      </c>
      <c r="K87" t="str">
        <f t="shared" si="3"/>
        <v>New York → London</v>
      </c>
      <c r="L87" s="5">
        <f t="shared" si="4"/>
        <v>66.666666666666671</v>
      </c>
      <c r="M87" s="7">
        <f t="shared" si="5"/>
        <v>30000</v>
      </c>
      <c r="N87" s="7"/>
      <c r="O87" s="7"/>
    </row>
    <row r="88" spans="1:15" x14ac:dyDescent="0.25">
      <c r="A88" t="s">
        <v>96</v>
      </c>
      <c r="B88" t="s">
        <v>28</v>
      </c>
      <c r="C88" t="s">
        <v>13</v>
      </c>
      <c r="D88">
        <v>9</v>
      </c>
      <c r="E88">
        <v>30000</v>
      </c>
      <c r="F88">
        <v>48.370927993807399</v>
      </c>
      <c r="G88">
        <v>55.0286146202792</v>
      </c>
      <c r="H88">
        <v>2847</v>
      </c>
      <c r="I88">
        <v>354</v>
      </c>
      <c r="J88">
        <v>122</v>
      </c>
      <c r="K88" t="str">
        <f t="shared" si="3"/>
        <v>New York → Paris</v>
      </c>
      <c r="L88" s="5">
        <f t="shared" si="4"/>
        <v>39.333333333333336</v>
      </c>
      <c r="M88" s="7">
        <f t="shared" si="5"/>
        <v>43188</v>
      </c>
      <c r="N88" s="7"/>
      <c r="O88" s="7"/>
    </row>
    <row r="89" spans="1:15" x14ac:dyDescent="0.25">
      <c r="A89" t="s">
        <v>97</v>
      </c>
      <c r="B89" t="s">
        <v>28</v>
      </c>
      <c r="C89" t="s">
        <v>20</v>
      </c>
      <c r="D89">
        <v>15</v>
      </c>
      <c r="E89">
        <v>32000</v>
      </c>
      <c r="F89">
        <v>-100.052686550405</v>
      </c>
      <c r="G89">
        <v>-30.927693096429799</v>
      </c>
      <c r="H89">
        <v>2000</v>
      </c>
      <c r="I89">
        <v>150</v>
      </c>
      <c r="J89">
        <v>150</v>
      </c>
      <c r="K89" t="str">
        <f t="shared" si="3"/>
        <v>New York → Dubai</v>
      </c>
      <c r="L89" s="5">
        <f t="shared" si="4"/>
        <v>10</v>
      </c>
      <c r="M89" s="7">
        <f t="shared" si="5"/>
        <v>22500</v>
      </c>
      <c r="N89" s="7"/>
      <c r="O89" s="7"/>
    </row>
    <row r="90" spans="1:15" x14ac:dyDescent="0.25">
      <c r="A90" t="s">
        <v>98</v>
      </c>
      <c r="B90" t="s">
        <v>1</v>
      </c>
      <c r="C90" t="s">
        <v>2</v>
      </c>
      <c r="D90">
        <v>10</v>
      </c>
      <c r="E90">
        <v>30000</v>
      </c>
      <c r="F90">
        <v>-64.198803722562502</v>
      </c>
      <c r="G90">
        <v>-52.369312732767703</v>
      </c>
      <c r="H90">
        <v>2550</v>
      </c>
      <c r="I90">
        <v>397</v>
      </c>
      <c r="J90">
        <v>120</v>
      </c>
      <c r="K90" t="str">
        <f t="shared" si="3"/>
        <v>Houston → Tokyo</v>
      </c>
      <c r="L90" s="5">
        <f t="shared" si="4"/>
        <v>39.700000000000003</v>
      </c>
      <c r="M90" s="7">
        <f t="shared" si="5"/>
        <v>47640</v>
      </c>
      <c r="N90" s="7"/>
      <c r="O90" s="7"/>
    </row>
    <row r="91" spans="1:15" x14ac:dyDescent="0.25">
      <c r="A91" t="s">
        <v>99</v>
      </c>
      <c r="B91" t="s">
        <v>6</v>
      </c>
      <c r="C91" t="s">
        <v>15</v>
      </c>
      <c r="D91">
        <v>9</v>
      </c>
      <c r="E91">
        <v>32000</v>
      </c>
      <c r="F91">
        <v>125.295152256534</v>
      </c>
      <c r="G91">
        <v>-74.756098462444797</v>
      </c>
      <c r="H91">
        <v>2678</v>
      </c>
      <c r="I91">
        <v>450</v>
      </c>
      <c r="J91">
        <v>116</v>
      </c>
      <c r="K91" t="str">
        <f t="shared" si="3"/>
        <v>Chicago → London</v>
      </c>
      <c r="L91" s="5">
        <f t="shared" si="4"/>
        <v>50</v>
      </c>
      <c r="M91" s="7">
        <f t="shared" si="5"/>
        <v>52200</v>
      </c>
      <c r="N91" s="7"/>
      <c r="O91" s="7"/>
    </row>
    <row r="92" spans="1:15" x14ac:dyDescent="0.25">
      <c r="A92" t="s">
        <v>100</v>
      </c>
      <c r="B92" t="s">
        <v>6</v>
      </c>
      <c r="C92" t="s">
        <v>9</v>
      </c>
      <c r="D92">
        <v>9</v>
      </c>
      <c r="E92">
        <v>30000</v>
      </c>
      <c r="F92">
        <v>82.390119217180896</v>
      </c>
      <c r="G92">
        <v>-5.9952382408064899</v>
      </c>
      <c r="H92">
        <v>2678</v>
      </c>
      <c r="I92">
        <v>356</v>
      </c>
      <c r="J92">
        <v>137</v>
      </c>
      <c r="K92" t="str">
        <f t="shared" si="3"/>
        <v>Chicago → Sydney</v>
      </c>
      <c r="L92" s="5">
        <f t="shared" si="4"/>
        <v>39.555555555555557</v>
      </c>
      <c r="M92" s="7">
        <f t="shared" si="5"/>
        <v>48772</v>
      </c>
      <c r="N92" s="7"/>
      <c r="O92" s="7"/>
    </row>
    <row r="93" spans="1:15" x14ac:dyDescent="0.25">
      <c r="A93" t="s">
        <v>101</v>
      </c>
      <c r="B93" t="s">
        <v>28</v>
      </c>
      <c r="C93" t="s">
        <v>20</v>
      </c>
      <c r="D93">
        <v>15</v>
      </c>
      <c r="E93">
        <v>30000</v>
      </c>
      <c r="F93">
        <v>-145.656260167244</v>
      </c>
      <c r="G93">
        <v>-3.2162221944284699</v>
      </c>
      <c r="H93">
        <v>3500</v>
      </c>
      <c r="I93">
        <v>402</v>
      </c>
      <c r="J93">
        <v>100</v>
      </c>
      <c r="K93" t="str">
        <f t="shared" si="3"/>
        <v>New York → Dubai</v>
      </c>
      <c r="L93" s="5">
        <f t="shared" si="4"/>
        <v>26.8</v>
      </c>
      <c r="M93" s="7">
        <f t="shared" si="5"/>
        <v>40200</v>
      </c>
      <c r="N93" s="7"/>
      <c r="O93" s="7"/>
    </row>
    <row r="94" spans="1:15" x14ac:dyDescent="0.25">
      <c r="A94" t="s">
        <v>102</v>
      </c>
      <c r="B94" t="s">
        <v>6</v>
      </c>
      <c r="C94" t="s">
        <v>13</v>
      </c>
      <c r="D94">
        <v>12</v>
      </c>
      <c r="E94">
        <v>30000</v>
      </c>
      <c r="F94">
        <v>-25.667272444883899</v>
      </c>
      <c r="G94">
        <v>61.363567872523298</v>
      </c>
      <c r="H94">
        <v>3000</v>
      </c>
      <c r="I94">
        <v>300</v>
      </c>
      <c r="J94">
        <v>50</v>
      </c>
      <c r="K94" t="str">
        <f t="shared" si="3"/>
        <v>Chicago → Paris</v>
      </c>
      <c r="L94" s="5">
        <f t="shared" si="4"/>
        <v>25</v>
      </c>
      <c r="M94" s="7">
        <f t="shared" si="5"/>
        <v>15000</v>
      </c>
      <c r="N94" s="7"/>
      <c r="O94" s="7"/>
    </row>
    <row r="95" spans="1:15" x14ac:dyDescent="0.25">
      <c r="A95" t="s">
        <v>103</v>
      </c>
      <c r="B95" t="s">
        <v>6</v>
      </c>
      <c r="C95" t="s">
        <v>13</v>
      </c>
      <c r="D95">
        <v>12</v>
      </c>
      <c r="E95">
        <v>32000</v>
      </c>
      <c r="F95">
        <v>-169.49888508770499</v>
      </c>
      <c r="G95">
        <v>-50.177034639708502</v>
      </c>
      <c r="H95">
        <v>2928</v>
      </c>
      <c r="I95">
        <v>354</v>
      </c>
      <c r="J95">
        <v>200</v>
      </c>
      <c r="K95" t="str">
        <f t="shared" si="3"/>
        <v>Chicago → Paris</v>
      </c>
      <c r="L95" s="5">
        <f t="shared" si="4"/>
        <v>29.5</v>
      </c>
      <c r="M95" s="7">
        <f t="shared" si="5"/>
        <v>70800</v>
      </c>
      <c r="N95" s="7"/>
      <c r="O95" s="7"/>
    </row>
    <row r="96" spans="1:15" x14ac:dyDescent="0.25">
      <c r="A96" t="s">
        <v>104</v>
      </c>
      <c r="B96" t="s">
        <v>28</v>
      </c>
      <c r="C96" t="s">
        <v>20</v>
      </c>
      <c r="D96">
        <v>5</v>
      </c>
      <c r="E96">
        <v>32000</v>
      </c>
      <c r="F96">
        <v>-6.8795472229167602</v>
      </c>
      <c r="G96">
        <v>-21.421570739688001</v>
      </c>
      <c r="H96">
        <v>2500</v>
      </c>
      <c r="I96">
        <v>402</v>
      </c>
      <c r="J96">
        <v>150</v>
      </c>
      <c r="K96" t="str">
        <f t="shared" si="3"/>
        <v>New York → Dubai</v>
      </c>
      <c r="L96" s="5">
        <f t="shared" si="4"/>
        <v>80.400000000000006</v>
      </c>
      <c r="M96" s="7">
        <f t="shared" si="5"/>
        <v>60300</v>
      </c>
      <c r="N96" s="7"/>
      <c r="O96" s="7"/>
    </row>
    <row r="97" spans="1:15" x14ac:dyDescent="0.25">
      <c r="A97" t="s">
        <v>105</v>
      </c>
      <c r="B97" t="s">
        <v>6</v>
      </c>
      <c r="C97" t="s">
        <v>13</v>
      </c>
      <c r="D97">
        <v>5</v>
      </c>
      <c r="E97">
        <v>35000</v>
      </c>
      <c r="F97">
        <v>58.476244212384501</v>
      </c>
      <c r="G97">
        <v>55.513033000864397</v>
      </c>
      <c r="H97">
        <v>3500</v>
      </c>
      <c r="I97">
        <v>354</v>
      </c>
      <c r="J97">
        <v>50</v>
      </c>
      <c r="K97" t="str">
        <f t="shared" si="3"/>
        <v>Chicago → Paris</v>
      </c>
      <c r="L97" s="5">
        <f t="shared" si="4"/>
        <v>70.8</v>
      </c>
      <c r="M97" s="7">
        <f t="shared" si="5"/>
        <v>17700</v>
      </c>
      <c r="N97" s="7"/>
      <c r="O97" s="7"/>
    </row>
    <row r="98" spans="1:15" x14ac:dyDescent="0.25">
      <c r="A98" t="s">
        <v>106</v>
      </c>
      <c r="B98" t="s">
        <v>4</v>
      </c>
      <c r="C98" t="s">
        <v>2</v>
      </c>
      <c r="D98">
        <v>9</v>
      </c>
      <c r="E98">
        <v>30000</v>
      </c>
      <c r="F98">
        <v>-137.33905550466599</v>
      </c>
      <c r="G98">
        <v>58.252249934815197</v>
      </c>
      <c r="H98">
        <v>2729</v>
      </c>
      <c r="I98">
        <v>397</v>
      </c>
      <c r="J98">
        <v>126</v>
      </c>
      <c r="K98" t="str">
        <f t="shared" si="3"/>
        <v>Miami → Tokyo</v>
      </c>
      <c r="L98" s="5">
        <f t="shared" si="4"/>
        <v>44.111111111111114</v>
      </c>
      <c r="M98" s="7">
        <f t="shared" si="5"/>
        <v>50022</v>
      </c>
      <c r="N98" s="7"/>
      <c r="O98" s="7"/>
    </row>
    <row r="99" spans="1:15" x14ac:dyDescent="0.25">
      <c r="A99" t="s">
        <v>107</v>
      </c>
      <c r="B99" t="s">
        <v>11</v>
      </c>
      <c r="C99" t="s">
        <v>15</v>
      </c>
      <c r="D99">
        <v>8</v>
      </c>
      <c r="E99">
        <v>30000</v>
      </c>
      <c r="F99">
        <v>-76.001421992700401</v>
      </c>
      <c r="G99">
        <v>-20.770006323821701</v>
      </c>
      <c r="H99">
        <v>2760</v>
      </c>
      <c r="I99">
        <v>374</v>
      </c>
      <c r="J99">
        <v>131</v>
      </c>
      <c r="K99" t="str">
        <f t="shared" si="3"/>
        <v>Los Angeles → London</v>
      </c>
      <c r="L99" s="5">
        <f t="shared" si="4"/>
        <v>46.75</v>
      </c>
      <c r="M99" s="7">
        <f t="shared" si="5"/>
        <v>48994</v>
      </c>
      <c r="N99" s="7"/>
      <c r="O99" s="7"/>
    </row>
    <row r="100" spans="1:15" x14ac:dyDescent="0.25">
      <c r="A100" t="s">
        <v>108</v>
      </c>
      <c r="B100" t="s">
        <v>11</v>
      </c>
      <c r="C100" t="s">
        <v>2</v>
      </c>
      <c r="D100">
        <v>12</v>
      </c>
      <c r="E100">
        <v>30000</v>
      </c>
      <c r="F100">
        <v>-36.778814819223498</v>
      </c>
      <c r="G100">
        <v>-7.3576758083974498</v>
      </c>
      <c r="H100">
        <v>2500</v>
      </c>
      <c r="I100">
        <v>300</v>
      </c>
      <c r="J100">
        <v>200</v>
      </c>
      <c r="K100" t="str">
        <f t="shared" si="3"/>
        <v>Los Angeles → Tokyo</v>
      </c>
      <c r="L100" s="5">
        <f t="shared" si="4"/>
        <v>25</v>
      </c>
      <c r="M100" s="7">
        <f t="shared" si="5"/>
        <v>60000</v>
      </c>
      <c r="N100" s="7"/>
      <c r="O100" s="7"/>
    </row>
    <row r="101" spans="1:15" x14ac:dyDescent="0.25">
      <c r="A101" t="s">
        <v>109</v>
      </c>
      <c r="B101" t="s">
        <v>28</v>
      </c>
      <c r="C101" t="s">
        <v>13</v>
      </c>
      <c r="D101">
        <v>9</v>
      </c>
      <c r="E101">
        <v>32000</v>
      </c>
      <c r="F101">
        <v>151.03116887617799</v>
      </c>
      <c r="G101">
        <v>-35.408539647129103</v>
      </c>
      <c r="H101">
        <v>3000</v>
      </c>
      <c r="I101">
        <v>354</v>
      </c>
      <c r="J101">
        <v>150</v>
      </c>
      <c r="K101" t="str">
        <f t="shared" si="3"/>
        <v>New York → Paris</v>
      </c>
      <c r="L101" s="5">
        <f t="shared" si="4"/>
        <v>39.333333333333336</v>
      </c>
      <c r="M101" s="7">
        <f t="shared" si="5"/>
        <v>53100</v>
      </c>
      <c r="N101" s="7"/>
      <c r="O101" s="7"/>
    </row>
    <row r="102" spans="1:15" x14ac:dyDescent="0.25">
      <c r="A102" t="s">
        <v>110</v>
      </c>
      <c r="B102" t="s">
        <v>1</v>
      </c>
      <c r="C102" t="s">
        <v>9</v>
      </c>
      <c r="D102">
        <v>9</v>
      </c>
      <c r="E102">
        <v>30000</v>
      </c>
      <c r="F102">
        <v>177.57180555226699</v>
      </c>
      <c r="G102">
        <v>77.859878115476207</v>
      </c>
      <c r="H102">
        <v>2000</v>
      </c>
      <c r="I102">
        <v>450</v>
      </c>
      <c r="J102">
        <v>200</v>
      </c>
      <c r="K102" t="str">
        <f t="shared" si="3"/>
        <v>Houston → Sydney</v>
      </c>
      <c r="L102" s="5">
        <f t="shared" si="4"/>
        <v>50</v>
      </c>
      <c r="M102" s="7">
        <f t="shared" si="5"/>
        <v>90000</v>
      </c>
      <c r="N102" s="7"/>
      <c r="O102" s="7"/>
    </row>
    <row r="103" spans="1:15" x14ac:dyDescent="0.25">
      <c r="A103" t="s">
        <v>111</v>
      </c>
      <c r="B103" t="s">
        <v>28</v>
      </c>
      <c r="C103" t="s">
        <v>15</v>
      </c>
      <c r="D103">
        <v>9</v>
      </c>
      <c r="E103">
        <v>30000</v>
      </c>
      <c r="F103">
        <v>-163.831932361578</v>
      </c>
      <c r="G103">
        <v>-68.644122166515501</v>
      </c>
      <c r="H103">
        <v>2760</v>
      </c>
      <c r="I103">
        <v>374</v>
      </c>
      <c r="J103">
        <v>107</v>
      </c>
      <c r="K103" t="str">
        <f t="shared" si="3"/>
        <v>New York → London</v>
      </c>
      <c r="L103" s="5">
        <f t="shared" si="4"/>
        <v>41.555555555555557</v>
      </c>
      <c r="M103" s="7">
        <f t="shared" si="5"/>
        <v>40018</v>
      </c>
      <c r="N103" s="7"/>
      <c r="O103" s="7"/>
    </row>
    <row r="104" spans="1:15" x14ac:dyDescent="0.25">
      <c r="A104" t="s">
        <v>112</v>
      </c>
      <c r="B104" t="s">
        <v>1</v>
      </c>
      <c r="C104" t="s">
        <v>15</v>
      </c>
      <c r="D104">
        <v>5</v>
      </c>
      <c r="E104">
        <v>30000</v>
      </c>
      <c r="F104">
        <v>93.962852458341203</v>
      </c>
      <c r="G104">
        <v>78.074896140264599</v>
      </c>
      <c r="H104">
        <v>3000</v>
      </c>
      <c r="I104">
        <v>374</v>
      </c>
      <c r="J104">
        <v>138</v>
      </c>
      <c r="K104" t="str">
        <f t="shared" si="3"/>
        <v>Houston → London</v>
      </c>
      <c r="L104" s="5">
        <f t="shared" si="4"/>
        <v>74.8</v>
      </c>
      <c r="M104" s="7">
        <f t="shared" si="5"/>
        <v>51612</v>
      </c>
      <c r="N104" s="7"/>
      <c r="O104" s="7"/>
    </row>
    <row r="105" spans="1:15" x14ac:dyDescent="0.25">
      <c r="A105" t="s">
        <v>113</v>
      </c>
      <c r="B105" t="s">
        <v>11</v>
      </c>
      <c r="C105" t="s">
        <v>20</v>
      </c>
      <c r="D105">
        <v>15</v>
      </c>
      <c r="E105">
        <v>30000</v>
      </c>
      <c r="F105">
        <v>-46.179336095156401</v>
      </c>
      <c r="G105">
        <v>33.095961330361803</v>
      </c>
      <c r="H105">
        <v>3500</v>
      </c>
      <c r="I105">
        <v>450</v>
      </c>
      <c r="J105">
        <v>50</v>
      </c>
      <c r="K105" t="str">
        <f t="shared" si="3"/>
        <v>Los Angeles → Dubai</v>
      </c>
      <c r="L105" s="5">
        <f t="shared" si="4"/>
        <v>30</v>
      </c>
      <c r="M105" s="7">
        <f t="shared" si="5"/>
        <v>22500</v>
      </c>
      <c r="N105" s="7"/>
      <c r="O105" s="7"/>
    </row>
    <row r="106" spans="1:15" x14ac:dyDescent="0.25">
      <c r="A106" t="s">
        <v>114</v>
      </c>
      <c r="B106" t="s">
        <v>28</v>
      </c>
      <c r="C106" t="s">
        <v>20</v>
      </c>
      <c r="D106">
        <v>12</v>
      </c>
      <c r="E106">
        <v>30000</v>
      </c>
      <c r="F106">
        <v>-38.715052957387201</v>
      </c>
      <c r="G106">
        <v>5.6829874836116101</v>
      </c>
      <c r="H106">
        <v>2588</v>
      </c>
      <c r="I106">
        <v>600</v>
      </c>
      <c r="J106">
        <v>150</v>
      </c>
      <c r="K106" t="str">
        <f t="shared" si="3"/>
        <v>New York → Dubai</v>
      </c>
      <c r="L106" s="5">
        <f t="shared" si="4"/>
        <v>50</v>
      </c>
      <c r="M106" s="7">
        <f t="shared" si="5"/>
        <v>90000</v>
      </c>
      <c r="N106" s="7"/>
      <c r="O106" s="7"/>
    </row>
    <row r="107" spans="1:15" x14ac:dyDescent="0.25">
      <c r="A107" t="s">
        <v>115</v>
      </c>
      <c r="B107" t="s">
        <v>4</v>
      </c>
      <c r="C107" t="s">
        <v>9</v>
      </c>
      <c r="D107">
        <v>10</v>
      </c>
      <c r="E107">
        <v>35000</v>
      </c>
      <c r="F107">
        <v>91.535390404928194</v>
      </c>
      <c r="G107">
        <v>-84.121369058790705</v>
      </c>
      <c r="H107">
        <v>3500</v>
      </c>
      <c r="I107">
        <v>356</v>
      </c>
      <c r="J107">
        <v>105</v>
      </c>
      <c r="K107" t="str">
        <f t="shared" si="3"/>
        <v>Miami → Sydney</v>
      </c>
      <c r="L107" s="5">
        <f t="shared" si="4"/>
        <v>35.6</v>
      </c>
      <c r="M107" s="7">
        <f t="shared" si="5"/>
        <v>37380</v>
      </c>
      <c r="N107" s="7"/>
      <c r="O107" s="7"/>
    </row>
    <row r="108" spans="1:15" x14ac:dyDescent="0.25">
      <c r="A108" t="s">
        <v>116</v>
      </c>
      <c r="B108" t="s">
        <v>6</v>
      </c>
      <c r="C108" t="s">
        <v>15</v>
      </c>
      <c r="D108">
        <v>12</v>
      </c>
      <c r="E108">
        <v>30000</v>
      </c>
      <c r="F108">
        <v>150.63351557234699</v>
      </c>
      <c r="G108">
        <v>-4.3926854720385098</v>
      </c>
      <c r="H108">
        <v>2500</v>
      </c>
      <c r="I108">
        <v>450</v>
      </c>
      <c r="J108">
        <v>100</v>
      </c>
      <c r="K108" t="str">
        <f t="shared" si="3"/>
        <v>Chicago → London</v>
      </c>
      <c r="L108" s="5">
        <f t="shared" si="4"/>
        <v>37.5</v>
      </c>
      <c r="M108" s="7">
        <f t="shared" si="5"/>
        <v>45000</v>
      </c>
      <c r="N108" s="7"/>
      <c r="O108" s="7"/>
    </row>
    <row r="109" spans="1:15" x14ac:dyDescent="0.25">
      <c r="A109" t="s">
        <v>117</v>
      </c>
      <c r="B109" t="s">
        <v>1</v>
      </c>
      <c r="C109" t="s">
        <v>9</v>
      </c>
      <c r="D109">
        <v>9</v>
      </c>
      <c r="E109">
        <v>30000</v>
      </c>
      <c r="F109">
        <v>162.33429402091701</v>
      </c>
      <c r="G109">
        <v>-16.605341099508198</v>
      </c>
      <c r="H109">
        <v>2500</v>
      </c>
      <c r="I109">
        <v>356</v>
      </c>
      <c r="J109">
        <v>127</v>
      </c>
      <c r="K109" t="str">
        <f t="shared" si="3"/>
        <v>Houston → Sydney</v>
      </c>
      <c r="L109" s="5">
        <f t="shared" si="4"/>
        <v>39.555555555555557</v>
      </c>
      <c r="M109" s="7">
        <f t="shared" si="5"/>
        <v>45212</v>
      </c>
      <c r="N109" s="7"/>
      <c r="O109" s="7"/>
    </row>
    <row r="110" spans="1:15" x14ac:dyDescent="0.25">
      <c r="A110" t="s">
        <v>118</v>
      </c>
      <c r="B110" t="s">
        <v>6</v>
      </c>
      <c r="C110" t="s">
        <v>20</v>
      </c>
      <c r="D110">
        <v>10</v>
      </c>
      <c r="E110">
        <v>30000</v>
      </c>
      <c r="F110">
        <v>27.764130973795499</v>
      </c>
      <c r="G110">
        <v>-60.980613844477901</v>
      </c>
      <c r="H110">
        <v>2636</v>
      </c>
      <c r="I110">
        <v>402</v>
      </c>
      <c r="J110">
        <v>114</v>
      </c>
      <c r="K110" t="str">
        <f t="shared" si="3"/>
        <v>Chicago → Dubai</v>
      </c>
      <c r="L110" s="5">
        <f t="shared" si="4"/>
        <v>40.200000000000003</v>
      </c>
      <c r="M110" s="7">
        <f t="shared" si="5"/>
        <v>45828</v>
      </c>
      <c r="N110" s="7"/>
      <c r="O110" s="7"/>
    </row>
    <row r="111" spans="1:15" x14ac:dyDescent="0.25">
      <c r="A111" t="s">
        <v>119</v>
      </c>
      <c r="B111" t="s">
        <v>6</v>
      </c>
      <c r="C111" t="s">
        <v>20</v>
      </c>
      <c r="D111">
        <v>10</v>
      </c>
      <c r="E111">
        <v>30000</v>
      </c>
      <c r="F111">
        <v>-51.436382651819002</v>
      </c>
      <c r="G111">
        <v>28.153728630118199</v>
      </c>
      <c r="H111">
        <v>2636</v>
      </c>
      <c r="I111">
        <v>402</v>
      </c>
      <c r="J111">
        <v>114</v>
      </c>
      <c r="K111" t="str">
        <f t="shared" si="3"/>
        <v>Chicago → Dubai</v>
      </c>
      <c r="L111" s="5">
        <f t="shared" si="4"/>
        <v>40.200000000000003</v>
      </c>
      <c r="M111" s="7">
        <f t="shared" si="5"/>
        <v>45828</v>
      </c>
      <c r="N111" s="7"/>
      <c r="O111" s="7"/>
    </row>
    <row r="112" spans="1:15" x14ac:dyDescent="0.25">
      <c r="A112" t="s">
        <v>120</v>
      </c>
      <c r="B112" t="s">
        <v>28</v>
      </c>
      <c r="C112" t="s">
        <v>15</v>
      </c>
      <c r="D112">
        <v>9</v>
      </c>
      <c r="E112">
        <v>30000</v>
      </c>
      <c r="F112">
        <v>103.517670909161</v>
      </c>
      <c r="G112">
        <v>84.807163326291402</v>
      </c>
      <c r="H112">
        <v>2760</v>
      </c>
      <c r="I112">
        <v>374</v>
      </c>
      <c r="J112">
        <v>107</v>
      </c>
      <c r="K112" t="str">
        <f t="shared" si="3"/>
        <v>New York → London</v>
      </c>
      <c r="L112" s="5">
        <f t="shared" si="4"/>
        <v>41.555555555555557</v>
      </c>
      <c r="M112" s="7">
        <f t="shared" si="5"/>
        <v>40018</v>
      </c>
      <c r="N112" s="7"/>
      <c r="O112" s="7"/>
    </row>
    <row r="113" spans="1:15" x14ac:dyDescent="0.25">
      <c r="A113" t="s">
        <v>121</v>
      </c>
      <c r="B113" t="s">
        <v>6</v>
      </c>
      <c r="C113" t="s">
        <v>2</v>
      </c>
      <c r="D113">
        <v>5</v>
      </c>
      <c r="E113">
        <v>30000</v>
      </c>
      <c r="F113">
        <v>-89.6395020255719</v>
      </c>
      <c r="G113">
        <v>11.1939859916145</v>
      </c>
      <c r="H113">
        <v>2500</v>
      </c>
      <c r="I113">
        <v>300</v>
      </c>
      <c r="J113">
        <v>133</v>
      </c>
      <c r="K113" t="str">
        <f t="shared" si="3"/>
        <v>Chicago → Tokyo</v>
      </c>
      <c r="L113" s="5">
        <f t="shared" si="4"/>
        <v>60</v>
      </c>
      <c r="M113" s="7">
        <f t="shared" si="5"/>
        <v>39900</v>
      </c>
      <c r="N113" s="7"/>
      <c r="O113" s="7"/>
    </row>
    <row r="114" spans="1:15" x14ac:dyDescent="0.25">
      <c r="A114" t="s">
        <v>122</v>
      </c>
      <c r="B114" t="s">
        <v>4</v>
      </c>
      <c r="C114" t="s">
        <v>13</v>
      </c>
      <c r="D114">
        <v>7</v>
      </c>
      <c r="E114">
        <v>30000</v>
      </c>
      <c r="F114">
        <v>23.066650380066399</v>
      </c>
      <c r="G114">
        <v>38.6555897599102</v>
      </c>
      <c r="H114">
        <v>2500</v>
      </c>
      <c r="I114">
        <v>450</v>
      </c>
      <c r="J114">
        <v>50</v>
      </c>
      <c r="K114" t="str">
        <f t="shared" si="3"/>
        <v>Miami → Paris</v>
      </c>
      <c r="L114" s="5">
        <f t="shared" si="4"/>
        <v>64.285714285714292</v>
      </c>
      <c r="M114" s="7">
        <f t="shared" si="5"/>
        <v>22500</v>
      </c>
      <c r="N114" s="7"/>
      <c r="O114" s="7"/>
    </row>
    <row r="115" spans="1:15" x14ac:dyDescent="0.25">
      <c r="A115" t="s">
        <v>123</v>
      </c>
      <c r="B115" t="s">
        <v>6</v>
      </c>
      <c r="C115" t="s">
        <v>20</v>
      </c>
      <c r="D115">
        <v>15</v>
      </c>
      <c r="E115">
        <v>30000</v>
      </c>
      <c r="F115">
        <v>-50.911753851045702</v>
      </c>
      <c r="G115">
        <v>-77.678918538117003</v>
      </c>
      <c r="H115">
        <v>2636</v>
      </c>
      <c r="I115">
        <v>150</v>
      </c>
      <c r="J115">
        <v>200</v>
      </c>
      <c r="K115" t="str">
        <f t="shared" si="3"/>
        <v>Chicago → Dubai</v>
      </c>
      <c r="L115" s="5">
        <f t="shared" si="4"/>
        <v>10</v>
      </c>
      <c r="M115" s="7">
        <f t="shared" si="5"/>
        <v>30000</v>
      </c>
      <c r="N115" s="7"/>
      <c r="O115" s="7"/>
    </row>
    <row r="116" spans="1:15" x14ac:dyDescent="0.25">
      <c r="A116" t="s">
        <v>124</v>
      </c>
      <c r="B116" t="s">
        <v>28</v>
      </c>
      <c r="C116" t="s">
        <v>20</v>
      </c>
      <c r="D116">
        <v>7</v>
      </c>
      <c r="E116">
        <v>30000</v>
      </c>
      <c r="F116">
        <v>56.387186534835401</v>
      </c>
      <c r="G116">
        <v>-14.8199407529409</v>
      </c>
      <c r="H116">
        <v>2000</v>
      </c>
      <c r="I116">
        <v>450</v>
      </c>
      <c r="J116">
        <v>100</v>
      </c>
      <c r="K116" t="str">
        <f t="shared" si="3"/>
        <v>New York → Dubai</v>
      </c>
      <c r="L116" s="5">
        <f t="shared" si="4"/>
        <v>64.285714285714292</v>
      </c>
      <c r="M116" s="7">
        <f t="shared" si="5"/>
        <v>45000</v>
      </c>
      <c r="N116" s="7"/>
      <c r="O116" s="7"/>
    </row>
    <row r="117" spans="1:15" x14ac:dyDescent="0.25">
      <c r="A117" t="s">
        <v>125</v>
      </c>
      <c r="B117" t="s">
        <v>4</v>
      </c>
      <c r="C117" t="s">
        <v>2</v>
      </c>
      <c r="D117">
        <v>5</v>
      </c>
      <c r="E117">
        <v>30000</v>
      </c>
      <c r="F117">
        <v>-93.456391358337498</v>
      </c>
      <c r="G117">
        <v>-69.055472670390699</v>
      </c>
      <c r="H117">
        <v>2729</v>
      </c>
      <c r="I117">
        <v>150</v>
      </c>
      <c r="J117">
        <v>200</v>
      </c>
      <c r="K117" t="str">
        <f t="shared" si="3"/>
        <v>Miami → Tokyo</v>
      </c>
      <c r="L117" s="5">
        <f t="shared" si="4"/>
        <v>30</v>
      </c>
      <c r="M117" s="7">
        <f t="shared" si="5"/>
        <v>30000</v>
      </c>
      <c r="N117" s="7"/>
      <c r="O117" s="7"/>
    </row>
    <row r="118" spans="1:15" x14ac:dyDescent="0.25">
      <c r="A118" t="s">
        <v>126</v>
      </c>
      <c r="B118" t="s">
        <v>11</v>
      </c>
      <c r="C118" t="s">
        <v>2</v>
      </c>
      <c r="D118">
        <v>15</v>
      </c>
      <c r="E118">
        <v>32000</v>
      </c>
      <c r="F118">
        <v>-111.026539535463</v>
      </c>
      <c r="G118">
        <v>20.303250396571901</v>
      </c>
      <c r="H118">
        <v>3500</v>
      </c>
      <c r="I118">
        <v>397</v>
      </c>
      <c r="J118">
        <v>200</v>
      </c>
      <c r="K118" t="str">
        <f t="shared" si="3"/>
        <v>Los Angeles → Tokyo</v>
      </c>
      <c r="L118" s="5">
        <f t="shared" si="4"/>
        <v>26.466666666666665</v>
      </c>
      <c r="M118" s="7">
        <f t="shared" si="5"/>
        <v>79400</v>
      </c>
      <c r="N118" s="7"/>
      <c r="O118" s="7"/>
    </row>
    <row r="119" spans="1:15" x14ac:dyDescent="0.25">
      <c r="A119" t="s">
        <v>127</v>
      </c>
      <c r="B119" t="s">
        <v>6</v>
      </c>
      <c r="C119" t="s">
        <v>9</v>
      </c>
      <c r="D119">
        <v>7</v>
      </c>
      <c r="E119">
        <v>30000</v>
      </c>
      <c r="F119">
        <v>150.56607120315701</v>
      </c>
      <c r="G119">
        <v>78.926788478547806</v>
      </c>
      <c r="H119">
        <v>2000</v>
      </c>
      <c r="I119">
        <v>356</v>
      </c>
      <c r="J119">
        <v>200</v>
      </c>
      <c r="K119" t="str">
        <f t="shared" si="3"/>
        <v>Chicago → Sydney</v>
      </c>
      <c r="L119" s="5">
        <f t="shared" si="4"/>
        <v>50.857142857142854</v>
      </c>
      <c r="M119" s="7">
        <f t="shared" si="5"/>
        <v>71200</v>
      </c>
      <c r="N119" s="7"/>
      <c r="O119" s="7"/>
    </row>
    <row r="120" spans="1:15" x14ac:dyDescent="0.25">
      <c r="A120" t="s">
        <v>128</v>
      </c>
      <c r="B120" t="s">
        <v>28</v>
      </c>
      <c r="C120" t="s">
        <v>9</v>
      </c>
      <c r="D120">
        <v>9</v>
      </c>
      <c r="E120">
        <v>30000</v>
      </c>
      <c r="F120">
        <v>-143.35067413816699</v>
      </c>
      <c r="G120">
        <v>29.119991844894901</v>
      </c>
      <c r="H120">
        <v>2800</v>
      </c>
      <c r="I120">
        <v>356</v>
      </c>
      <c r="J120">
        <v>120</v>
      </c>
      <c r="K120" t="str">
        <f t="shared" si="3"/>
        <v>New York → Sydney</v>
      </c>
      <c r="L120" s="5">
        <f t="shared" si="4"/>
        <v>39.555555555555557</v>
      </c>
      <c r="M120" s="7">
        <f t="shared" si="5"/>
        <v>42720</v>
      </c>
      <c r="N120" s="7"/>
      <c r="O120" s="7"/>
    </row>
    <row r="121" spans="1:15" x14ac:dyDescent="0.25">
      <c r="A121" t="s">
        <v>129</v>
      </c>
      <c r="B121" t="s">
        <v>11</v>
      </c>
      <c r="C121" t="s">
        <v>13</v>
      </c>
      <c r="D121">
        <v>5</v>
      </c>
      <c r="E121">
        <v>30000</v>
      </c>
      <c r="F121">
        <v>2.1448467845754098</v>
      </c>
      <c r="G121">
        <v>-76.175451303404103</v>
      </c>
      <c r="H121">
        <v>2000</v>
      </c>
      <c r="I121">
        <v>354</v>
      </c>
      <c r="J121">
        <v>50</v>
      </c>
      <c r="K121" t="str">
        <f t="shared" si="3"/>
        <v>Los Angeles → Paris</v>
      </c>
      <c r="L121" s="5">
        <f t="shared" si="4"/>
        <v>70.8</v>
      </c>
      <c r="M121" s="7">
        <f t="shared" si="5"/>
        <v>17700</v>
      </c>
      <c r="N121" s="7"/>
      <c r="O121" s="7"/>
    </row>
    <row r="122" spans="1:15" x14ac:dyDescent="0.25">
      <c r="A122" t="s">
        <v>130</v>
      </c>
      <c r="B122" t="s">
        <v>11</v>
      </c>
      <c r="C122" t="s">
        <v>13</v>
      </c>
      <c r="D122">
        <v>8</v>
      </c>
      <c r="E122">
        <v>30000</v>
      </c>
      <c r="F122">
        <v>-100.492998133317</v>
      </c>
      <c r="G122">
        <v>-26.1600831026851</v>
      </c>
      <c r="H122">
        <v>2882</v>
      </c>
      <c r="I122">
        <v>354</v>
      </c>
      <c r="J122">
        <v>125</v>
      </c>
      <c r="K122" t="str">
        <f t="shared" si="3"/>
        <v>Los Angeles → Paris</v>
      </c>
      <c r="L122" s="5">
        <f t="shared" si="4"/>
        <v>44.25</v>
      </c>
      <c r="M122" s="7">
        <f t="shared" si="5"/>
        <v>44250</v>
      </c>
      <c r="N122" s="7"/>
      <c r="O122" s="7"/>
    </row>
    <row r="123" spans="1:15" x14ac:dyDescent="0.25">
      <c r="A123" t="s">
        <v>131</v>
      </c>
      <c r="B123" t="s">
        <v>1</v>
      </c>
      <c r="C123" t="s">
        <v>15</v>
      </c>
      <c r="D123">
        <v>5</v>
      </c>
      <c r="E123">
        <v>30000</v>
      </c>
      <c r="F123">
        <v>-165.98521320276001</v>
      </c>
      <c r="G123">
        <v>9.1194082993532799</v>
      </c>
      <c r="H123">
        <v>2500</v>
      </c>
      <c r="I123">
        <v>300</v>
      </c>
      <c r="J123">
        <v>200</v>
      </c>
      <c r="K123" t="str">
        <f t="shared" si="3"/>
        <v>Houston → London</v>
      </c>
      <c r="L123" s="5">
        <f t="shared" si="4"/>
        <v>60</v>
      </c>
      <c r="M123" s="7">
        <f t="shared" si="5"/>
        <v>60000</v>
      </c>
      <c r="N123" s="7"/>
      <c r="O123" s="7"/>
    </row>
    <row r="124" spans="1:15" x14ac:dyDescent="0.25">
      <c r="A124" t="s">
        <v>132</v>
      </c>
      <c r="B124" t="s">
        <v>4</v>
      </c>
      <c r="C124" t="s">
        <v>9</v>
      </c>
      <c r="D124">
        <v>9</v>
      </c>
      <c r="E124">
        <v>35000</v>
      </c>
      <c r="F124">
        <v>-167.03322541508601</v>
      </c>
      <c r="G124">
        <v>-17.4226038960146</v>
      </c>
      <c r="H124">
        <v>3000</v>
      </c>
      <c r="I124">
        <v>300</v>
      </c>
      <c r="J124">
        <v>50</v>
      </c>
      <c r="K124" t="str">
        <f t="shared" si="3"/>
        <v>Miami → Sydney</v>
      </c>
      <c r="L124" s="5">
        <f t="shared" si="4"/>
        <v>33.333333333333336</v>
      </c>
      <c r="M124" s="7">
        <f t="shared" si="5"/>
        <v>15000</v>
      </c>
      <c r="N124" s="7"/>
      <c r="O124" s="7"/>
    </row>
    <row r="125" spans="1:15" x14ac:dyDescent="0.25">
      <c r="A125" t="s">
        <v>133</v>
      </c>
      <c r="B125" t="s">
        <v>6</v>
      </c>
      <c r="C125" t="s">
        <v>20</v>
      </c>
      <c r="D125">
        <v>9</v>
      </c>
      <c r="E125">
        <v>30000</v>
      </c>
      <c r="F125">
        <v>-116.920162041902</v>
      </c>
      <c r="G125">
        <v>60.055921885530999</v>
      </c>
      <c r="H125">
        <v>2500</v>
      </c>
      <c r="I125">
        <v>150</v>
      </c>
      <c r="J125">
        <v>100</v>
      </c>
      <c r="K125" t="str">
        <f t="shared" si="3"/>
        <v>Chicago → Dubai</v>
      </c>
      <c r="L125" s="5">
        <f t="shared" si="4"/>
        <v>16.666666666666668</v>
      </c>
      <c r="M125" s="7">
        <f t="shared" si="5"/>
        <v>15000</v>
      </c>
      <c r="N125" s="7"/>
      <c r="O125" s="7"/>
    </row>
    <row r="126" spans="1:15" x14ac:dyDescent="0.25">
      <c r="A126" t="s">
        <v>134</v>
      </c>
      <c r="B126" t="s">
        <v>28</v>
      </c>
      <c r="C126" t="s">
        <v>9</v>
      </c>
      <c r="D126">
        <v>12</v>
      </c>
      <c r="E126">
        <v>30000</v>
      </c>
      <c r="F126">
        <v>132.03732762216001</v>
      </c>
      <c r="G126">
        <v>56.640780847798098</v>
      </c>
      <c r="H126">
        <v>2800</v>
      </c>
      <c r="I126">
        <v>356</v>
      </c>
      <c r="J126">
        <v>100</v>
      </c>
      <c r="K126" t="str">
        <f t="shared" si="3"/>
        <v>New York → Sydney</v>
      </c>
      <c r="L126" s="5">
        <f t="shared" si="4"/>
        <v>29.666666666666668</v>
      </c>
      <c r="M126" s="7">
        <f t="shared" si="5"/>
        <v>35600</v>
      </c>
      <c r="N126" s="7"/>
      <c r="O126" s="7"/>
    </row>
    <row r="127" spans="1:15" x14ac:dyDescent="0.25">
      <c r="A127" t="s">
        <v>135</v>
      </c>
      <c r="B127" t="s">
        <v>1</v>
      </c>
      <c r="C127" t="s">
        <v>20</v>
      </c>
      <c r="D127">
        <v>8</v>
      </c>
      <c r="E127">
        <v>30000</v>
      </c>
      <c r="F127">
        <v>-78.307652168270394</v>
      </c>
      <c r="G127">
        <v>20.1295836185799</v>
      </c>
      <c r="H127">
        <v>2500</v>
      </c>
      <c r="I127">
        <v>402</v>
      </c>
      <c r="J127">
        <v>111</v>
      </c>
      <c r="K127" t="str">
        <f t="shared" si="3"/>
        <v>Houston → Dubai</v>
      </c>
      <c r="L127" s="5">
        <f t="shared" si="4"/>
        <v>50.25</v>
      </c>
      <c r="M127" s="7">
        <f t="shared" si="5"/>
        <v>44622</v>
      </c>
      <c r="N127" s="7"/>
      <c r="O127" s="7"/>
    </row>
    <row r="128" spans="1:15" x14ac:dyDescent="0.25">
      <c r="A128" t="s">
        <v>136</v>
      </c>
      <c r="B128" t="s">
        <v>4</v>
      </c>
      <c r="C128" t="s">
        <v>2</v>
      </c>
      <c r="D128">
        <v>7</v>
      </c>
      <c r="E128">
        <v>32000</v>
      </c>
      <c r="F128">
        <v>162.16530140710699</v>
      </c>
      <c r="G128">
        <v>-22.777569876112999</v>
      </c>
      <c r="H128">
        <v>2500</v>
      </c>
      <c r="I128">
        <v>300</v>
      </c>
      <c r="J128">
        <v>150</v>
      </c>
      <c r="K128" t="str">
        <f t="shared" si="3"/>
        <v>Miami → Tokyo</v>
      </c>
      <c r="L128" s="5">
        <f t="shared" si="4"/>
        <v>42.857142857142854</v>
      </c>
      <c r="M128" s="7">
        <f t="shared" si="5"/>
        <v>45000</v>
      </c>
      <c r="N128" s="7"/>
      <c r="O128" s="7"/>
    </row>
    <row r="129" spans="1:15" x14ac:dyDescent="0.25">
      <c r="A129" t="s">
        <v>137</v>
      </c>
      <c r="B129" t="s">
        <v>1</v>
      </c>
      <c r="C129" t="s">
        <v>9</v>
      </c>
      <c r="D129">
        <v>12</v>
      </c>
      <c r="E129">
        <v>35000</v>
      </c>
      <c r="F129">
        <v>29.384025476109699</v>
      </c>
      <c r="G129">
        <v>-44.039452722615998</v>
      </c>
      <c r="H129">
        <v>2500</v>
      </c>
      <c r="I129">
        <v>300</v>
      </c>
      <c r="J129">
        <v>200</v>
      </c>
      <c r="K129" t="str">
        <f t="shared" si="3"/>
        <v>Houston → Sydney</v>
      </c>
      <c r="L129" s="5">
        <f t="shared" si="4"/>
        <v>25</v>
      </c>
      <c r="M129" s="7">
        <f t="shared" si="5"/>
        <v>60000</v>
      </c>
      <c r="N129" s="7"/>
      <c r="O129" s="7"/>
    </row>
    <row r="130" spans="1:15" x14ac:dyDescent="0.25">
      <c r="A130" t="s">
        <v>138</v>
      </c>
      <c r="B130" t="s">
        <v>4</v>
      </c>
      <c r="C130" t="s">
        <v>2</v>
      </c>
      <c r="D130">
        <v>7</v>
      </c>
      <c r="E130">
        <v>30000</v>
      </c>
      <c r="F130">
        <v>-22.8188916832442</v>
      </c>
      <c r="G130">
        <v>-70.942622721636695</v>
      </c>
      <c r="H130">
        <v>3500</v>
      </c>
      <c r="I130">
        <v>397</v>
      </c>
      <c r="J130">
        <v>150</v>
      </c>
      <c r="K130" t="str">
        <f t="shared" si="3"/>
        <v>Miami → Tokyo</v>
      </c>
      <c r="L130" s="5">
        <f t="shared" si="4"/>
        <v>56.714285714285715</v>
      </c>
      <c r="M130" s="7">
        <f t="shared" si="5"/>
        <v>59550</v>
      </c>
      <c r="N130" s="7"/>
      <c r="O130" s="7"/>
    </row>
    <row r="131" spans="1:15" x14ac:dyDescent="0.25">
      <c r="A131" t="s">
        <v>139</v>
      </c>
      <c r="B131" t="s">
        <v>4</v>
      </c>
      <c r="C131" t="s">
        <v>13</v>
      </c>
      <c r="D131">
        <v>8</v>
      </c>
      <c r="E131">
        <v>30000</v>
      </c>
      <c r="F131">
        <v>28.831980481003701</v>
      </c>
      <c r="G131">
        <v>-26.118416972420299</v>
      </c>
      <c r="H131">
        <v>3000</v>
      </c>
      <c r="I131">
        <v>600</v>
      </c>
      <c r="J131">
        <v>100</v>
      </c>
      <c r="K131" t="str">
        <f t="shared" ref="K131:K194" si="6">B131 &amp; " → " &amp; C131</f>
        <v>Miami → Paris</v>
      </c>
      <c r="L131" s="5">
        <f t="shared" ref="L131:L194" si="7">I131/D131</f>
        <v>75</v>
      </c>
      <c r="M131" s="7">
        <f t="shared" ref="M131:M194" si="8">I131*J131</f>
        <v>60000</v>
      </c>
      <c r="N131" s="7"/>
      <c r="O131" s="7"/>
    </row>
    <row r="132" spans="1:15" x14ac:dyDescent="0.25">
      <c r="A132" t="s">
        <v>140</v>
      </c>
      <c r="B132" t="s">
        <v>6</v>
      </c>
      <c r="C132" t="s">
        <v>13</v>
      </c>
      <c r="D132">
        <v>9</v>
      </c>
      <c r="E132">
        <v>30000</v>
      </c>
      <c r="F132">
        <v>6.0114186814564103</v>
      </c>
      <c r="G132">
        <v>-15.628946902610499</v>
      </c>
      <c r="H132">
        <v>2500</v>
      </c>
      <c r="I132">
        <v>600</v>
      </c>
      <c r="J132">
        <v>50</v>
      </c>
      <c r="K132" t="str">
        <f t="shared" si="6"/>
        <v>Chicago → Paris</v>
      </c>
      <c r="L132" s="5">
        <f t="shared" si="7"/>
        <v>66.666666666666671</v>
      </c>
      <c r="M132" s="7">
        <f t="shared" si="8"/>
        <v>30000</v>
      </c>
      <c r="N132" s="7"/>
      <c r="O132" s="7"/>
    </row>
    <row r="133" spans="1:15" x14ac:dyDescent="0.25">
      <c r="A133" t="s">
        <v>141</v>
      </c>
      <c r="B133" t="s">
        <v>4</v>
      </c>
      <c r="C133" t="s">
        <v>15</v>
      </c>
      <c r="D133">
        <v>8</v>
      </c>
      <c r="E133">
        <v>30000</v>
      </c>
      <c r="F133">
        <v>93.159451352637106</v>
      </c>
      <c r="G133">
        <v>31.648126518733299</v>
      </c>
      <c r="H133">
        <v>2615</v>
      </c>
      <c r="I133">
        <v>374</v>
      </c>
      <c r="J133">
        <v>121</v>
      </c>
      <c r="K133" t="str">
        <f t="shared" si="6"/>
        <v>Miami → London</v>
      </c>
      <c r="L133" s="5">
        <f t="shared" si="7"/>
        <v>46.75</v>
      </c>
      <c r="M133" s="7">
        <f t="shared" si="8"/>
        <v>45254</v>
      </c>
      <c r="N133" s="7"/>
      <c r="O133" s="7"/>
    </row>
    <row r="134" spans="1:15" x14ac:dyDescent="0.25">
      <c r="A134" t="s">
        <v>142</v>
      </c>
      <c r="B134" t="s">
        <v>1</v>
      </c>
      <c r="C134" t="s">
        <v>9</v>
      </c>
      <c r="D134">
        <v>9</v>
      </c>
      <c r="E134">
        <v>30000</v>
      </c>
      <c r="F134">
        <v>-78.301416249773197</v>
      </c>
      <c r="G134">
        <v>28.468768373563201</v>
      </c>
      <c r="H134">
        <v>2500</v>
      </c>
      <c r="I134">
        <v>356</v>
      </c>
      <c r="J134">
        <v>127</v>
      </c>
      <c r="K134" t="str">
        <f t="shared" si="6"/>
        <v>Houston → Sydney</v>
      </c>
      <c r="L134" s="5">
        <f t="shared" si="7"/>
        <v>39.555555555555557</v>
      </c>
      <c r="M134" s="7">
        <f t="shared" si="8"/>
        <v>45212</v>
      </c>
      <c r="N134" s="7"/>
      <c r="O134" s="7"/>
    </row>
    <row r="135" spans="1:15" x14ac:dyDescent="0.25">
      <c r="A135" t="s">
        <v>143</v>
      </c>
      <c r="B135" t="s">
        <v>4</v>
      </c>
      <c r="C135" t="s">
        <v>2</v>
      </c>
      <c r="D135">
        <v>9</v>
      </c>
      <c r="E135">
        <v>30000</v>
      </c>
      <c r="F135">
        <v>-52.901859023891099</v>
      </c>
      <c r="G135">
        <v>-77.380534864573704</v>
      </c>
      <c r="H135">
        <v>2729</v>
      </c>
      <c r="I135">
        <v>397</v>
      </c>
      <c r="J135">
        <v>126</v>
      </c>
      <c r="K135" t="str">
        <f t="shared" si="6"/>
        <v>Miami → Tokyo</v>
      </c>
      <c r="L135" s="5">
        <f t="shared" si="7"/>
        <v>44.111111111111114</v>
      </c>
      <c r="M135" s="7">
        <f t="shared" si="8"/>
        <v>50022</v>
      </c>
      <c r="N135" s="7"/>
      <c r="O135" s="7"/>
    </row>
    <row r="136" spans="1:15" x14ac:dyDescent="0.25">
      <c r="A136" t="s">
        <v>144</v>
      </c>
      <c r="B136" t="s">
        <v>6</v>
      </c>
      <c r="C136" t="s">
        <v>20</v>
      </c>
      <c r="D136">
        <v>12</v>
      </c>
      <c r="E136">
        <v>35000</v>
      </c>
      <c r="F136">
        <v>141.87394891196999</v>
      </c>
      <c r="G136">
        <v>-18.853323222391602</v>
      </c>
      <c r="H136">
        <v>3000</v>
      </c>
      <c r="I136">
        <v>402</v>
      </c>
      <c r="J136">
        <v>100</v>
      </c>
      <c r="K136" t="str">
        <f t="shared" si="6"/>
        <v>Chicago → Dubai</v>
      </c>
      <c r="L136" s="5">
        <f t="shared" si="7"/>
        <v>33.5</v>
      </c>
      <c r="M136" s="7">
        <f t="shared" si="8"/>
        <v>40200</v>
      </c>
      <c r="N136" s="7"/>
      <c r="O136" s="7"/>
    </row>
    <row r="137" spans="1:15" x14ac:dyDescent="0.25">
      <c r="A137" t="s">
        <v>145</v>
      </c>
      <c r="B137" t="s">
        <v>6</v>
      </c>
      <c r="C137" t="s">
        <v>13</v>
      </c>
      <c r="D137">
        <v>10</v>
      </c>
      <c r="E137">
        <v>30000</v>
      </c>
      <c r="F137">
        <v>160.724344734146</v>
      </c>
      <c r="G137">
        <v>-57.279803900874903</v>
      </c>
      <c r="H137">
        <v>2928</v>
      </c>
      <c r="I137">
        <v>354</v>
      </c>
      <c r="J137">
        <v>121</v>
      </c>
      <c r="K137" t="str">
        <f t="shared" si="6"/>
        <v>Chicago → Paris</v>
      </c>
      <c r="L137" s="5">
        <f t="shared" si="7"/>
        <v>35.4</v>
      </c>
      <c r="M137" s="7">
        <f t="shared" si="8"/>
        <v>42834</v>
      </c>
      <c r="N137" s="7"/>
      <c r="O137" s="7"/>
    </row>
    <row r="138" spans="1:15" x14ac:dyDescent="0.25">
      <c r="A138" t="s">
        <v>146</v>
      </c>
      <c r="B138" t="s">
        <v>1</v>
      </c>
      <c r="C138" t="s">
        <v>13</v>
      </c>
      <c r="D138">
        <v>9</v>
      </c>
      <c r="E138">
        <v>30000</v>
      </c>
      <c r="F138">
        <v>141.32096189513101</v>
      </c>
      <c r="G138">
        <v>-61.773713042974997</v>
      </c>
      <c r="H138">
        <v>2647</v>
      </c>
      <c r="I138">
        <v>354</v>
      </c>
      <c r="J138">
        <v>113</v>
      </c>
      <c r="K138" t="str">
        <f t="shared" si="6"/>
        <v>Houston → Paris</v>
      </c>
      <c r="L138" s="5">
        <f t="shared" si="7"/>
        <v>39.333333333333336</v>
      </c>
      <c r="M138" s="7">
        <f t="shared" si="8"/>
        <v>40002</v>
      </c>
      <c r="N138" s="7"/>
      <c r="O138" s="7"/>
    </row>
    <row r="139" spans="1:15" x14ac:dyDescent="0.25">
      <c r="A139" t="s">
        <v>147</v>
      </c>
      <c r="B139" t="s">
        <v>11</v>
      </c>
      <c r="C139" t="s">
        <v>20</v>
      </c>
      <c r="D139">
        <v>11</v>
      </c>
      <c r="E139">
        <v>30000</v>
      </c>
      <c r="F139">
        <v>-28.998722175367099</v>
      </c>
      <c r="G139">
        <v>58.914386952704298</v>
      </c>
      <c r="H139">
        <v>2794</v>
      </c>
      <c r="I139">
        <v>402</v>
      </c>
      <c r="J139">
        <v>113</v>
      </c>
      <c r="K139" t="str">
        <f t="shared" si="6"/>
        <v>Los Angeles → Dubai</v>
      </c>
      <c r="L139" s="5">
        <f t="shared" si="7"/>
        <v>36.545454545454547</v>
      </c>
      <c r="M139" s="7">
        <f t="shared" si="8"/>
        <v>45426</v>
      </c>
      <c r="N139" s="7"/>
      <c r="O139" s="7"/>
    </row>
    <row r="140" spans="1:15" x14ac:dyDescent="0.25">
      <c r="A140" t="s">
        <v>148</v>
      </c>
      <c r="B140" t="s">
        <v>11</v>
      </c>
      <c r="C140" t="s">
        <v>2</v>
      </c>
      <c r="D140">
        <v>12</v>
      </c>
      <c r="E140">
        <v>30000</v>
      </c>
      <c r="F140">
        <v>100.931581082477</v>
      </c>
      <c r="G140">
        <v>-82.455260991073601</v>
      </c>
      <c r="H140">
        <v>2500</v>
      </c>
      <c r="I140">
        <v>150</v>
      </c>
      <c r="J140">
        <v>50</v>
      </c>
      <c r="K140" t="str">
        <f t="shared" si="6"/>
        <v>Los Angeles → Tokyo</v>
      </c>
      <c r="L140" s="5">
        <f t="shared" si="7"/>
        <v>12.5</v>
      </c>
      <c r="M140" s="7">
        <f t="shared" si="8"/>
        <v>7500</v>
      </c>
      <c r="N140" s="7"/>
      <c r="O140" s="7"/>
    </row>
    <row r="141" spans="1:15" x14ac:dyDescent="0.25">
      <c r="A141" t="s">
        <v>149</v>
      </c>
      <c r="B141" t="s">
        <v>4</v>
      </c>
      <c r="C141" t="s">
        <v>2</v>
      </c>
      <c r="D141">
        <v>9</v>
      </c>
      <c r="E141">
        <v>30000</v>
      </c>
      <c r="F141">
        <v>-8.5191360116044503</v>
      </c>
      <c r="G141">
        <v>-14.5470823376182</v>
      </c>
      <c r="H141">
        <v>2729</v>
      </c>
      <c r="I141">
        <v>397</v>
      </c>
      <c r="J141">
        <v>126</v>
      </c>
      <c r="K141" t="str">
        <f t="shared" si="6"/>
        <v>Miami → Tokyo</v>
      </c>
      <c r="L141" s="5">
        <f t="shared" si="7"/>
        <v>44.111111111111114</v>
      </c>
      <c r="M141" s="7">
        <f t="shared" si="8"/>
        <v>50022</v>
      </c>
      <c r="N141" s="7"/>
      <c r="O141" s="7"/>
    </row>
    <row r="142" spans="1:15" x14ac:dyDescent="0.25">
      <c r="A142" t="s">
        <v>150</v>
      </c>
      <c r="B142" t="s">
        <v>28</v>
      </c>
      <c r="C142" t="s">
        <v>9</v>
      </c>
      <c r="D142">
        <v>9</v>
      </c>
      <c r="E142">
        <v>30000</v>
      </c>
      <c r="F142">
        <v>-0.88565322740322505</v>
      </c>
      <c r="G142">
        <v>-59.723341962026701</v>
      </c>
      <c r="H142">
        <v>2800</v>
      </c>
      <c r="I142">
        <v>356</v>
      </c>
      <c r="J142">
        <v>120</v>
      </c>
      <c r="K142" t="str">
        <f t="shared" si="6"/>
        <v>New York → Sydney</v>
      </c>
      <c r="L142" s="5">
        <f t="shared" si="7"/>
        <v>39.555555555555557</v>
      </c>
      <c r="M142" s="7">
        <f t="shared" si="8"/>
        <v>42720</v>
      </c>
      <c r="N142" s="7"/>
      <c r="O142" s="7"/>
    </row>
    <row r="143" spans="1:15" x14ac:dyDescent="0.25">
      <c r="A143" t="s">
        <v>151</v>
      </c>
      <c r="B143" t="s">
        <v>4</v>
      </c>
      <c r="C143" t="s">
        <v>9</v>
      </c>
      <c r="D143">
        <v>10</v>
      </c>
      <c r="E143">
        <v>30000</v>
      </c>
      <c r="F143">
        <v>-106.315160739378</v>
      </c>
      <c r="G143">
        <v>68.2794388221253</v>
      </c>
      <c r="H143">
        <v>2931</v>
      </c>
      <c r="I143">
        <v>356</v>
      </c>
      <c r="J143">
        <v>105</v>
      </c>
      <c r="K143" t="str">
        <f t="shared" si="6"/>
        <v>Miami → Sydney</v>
      </c>
      <c r="L143" s="5">
        <f t="shared" si="7"/>
        <v>35.6</v>
      </c>
      <c r="M143" s="7">
        <f t="shared" si="8"/>
        <v>37380</v>
      </c>
      <c r="N143" s="7"/>
      <c r="O143" s="7"/>
    </row>
    <row r="144" spans="1:15" x14ac:dyDescent="0.25">
      <c r="A144" t="s">
        <v>152</v>
      </c>
      <c r="B144" t="s">
        <v>1</v>
      </c>
      <c r="C144" t="s">
        <v>15</v>
      </c>
      <c r="D144">
        <v>7</v>
      </c>
      <c r="E144">
        <v>30000</v>
      </c>
      <c r="F144">
        <v>32.806909173065897</v>
      </c>
      <c r="G144">
        <v>10.2672923895063</v>
      </c>
      <c r="H144">
        <v>2500</v>
      </c>
      <c r="I144">
        <v>374</v>
      </c>
      <c r="J144">
        <v>150</v>
      </c>
      <c r="K144" t="str">
        <f t="shared" si="6"/>
        <v>Houston → London</v>
      </c>
      <c r="L144" s="5">
        <f t="shared" si="7"/>
        <v>53.428571428571431</v>
      </c>
      <c r="M144" s="7">
        <f t="shared" si="8"/>
        <v>56100</v>
      </c>
      <c r="N144" s="7"/>
      <c r="O144" s="7"/>
    </row>
    <row r="145" spans="1:15" x14ac:dyDescent="0.25">
      <c r="A145" t="s">
        <v>153</v>
      </c>
      <c r="B145" t="s">
        <v>1</v>
      </c>
      <c r="C145" t="s">
        <v>13</v>
      </c>
      <c r="D145">
        <v>15</v>
      </c>
      <c r="E145">
        <v>30000</v>
      </c>
      <c r="F145">
        <v>-112.991076808795</v>
      </c>
      <c r="G145">
        <v>-48.351485452167402</v>
      </c>
      <c r="H145">
        <v>3000</v>
      </c>
      <c r="I145">
        <v>300</v>
      </c>
      <c r="J145">
        <v>200</v>
      </c>
      <c r="K145" t="str">
        <f t="shared" si="6"/>
        <v>Houston → Paris</v>
      </c>
      <c r="L145" s="5">
        <f t="shared" si="7"/>
        <v>20</v>
      </c>
      <c r="M145" s="7">
        <f t="shared" si="8"/>
        <v>60000</v>
      </c>
      <c r="N145" s="7"/>
      <c r="O145" s="7"/>
    </row>
    <row r="146" spans="1:15" x14ac:dyDescent="0.25">
      <c r="A146" t="s">
        <v>154</v>
      </c>
      <c r="B146" t="s">
        <v>1</v>
      </c>
      <c r="C146" t="s">
        <v>9</v>
      </c>
      <c r="D146">
        <v>9</v>
      </c>
      <c r="E146">
        <v>30000</v>
      </c>
      <c r="F146">
        <v>-60.636708335810198</v>
      </c>
      <c r="G146">
        <v>0.43691168994774898</v>
      </c>
      <c r="H146">
        <v>2500</v>
      </c>
      <c r="I146">
        <v>356</v>
      </c>
      <c r="J146">
        <v>127</v>
      </c>
      <c r="K146" t="str">
        <f t="shared" si="6"/>
        <v>Houston → Sydney</v>
      </c>
      <c r="L146" s="5">
        <f t="shared" si="7"/>
        <v>39.555555555555557</v>
      </c>
      <c r="M146" s="7">
        <f t="shared" si="8"/>
        <v>45212</v>
      </c>
      <c r="N146" s="7"/>
      <c r="O146" s="7"/>
    </row>
    <row r="147" spans="1:15" x14ac:dyDescent="0.25">
      <c r="A147" t="s">
        <v>155</v>
      </c>
      <c r="B147" t="s">
        <v>1</v>
      </c>
      <c r="C147" t="s">
        <v>2</v>
      </c>
      <c r="D147">
        <v>10</v>
      </c>
      <c r="E147">
        <v>30000</v>
      </c>
      <c r="F147">
        <v>127.810872583177</v>
      </c>
      <c r="G147">
        <v>41.6675447465609</v>
      </c>
      <c r="H147">
        <v>2550</v>
      </c>
      <c r="I147">
        <v>397</v>
      </c>
      <c r="J147">
        <v>120</v>
      </c>
      <c r="K147" t="str">
        <f t="shared" si="6"/>
        <v>Houston → Tokyo</v>
      </c>
      <c r="L147" s="5">
        <f t="shared" si="7"/>
        <v>39.700000000000003</v>
      </c>
      <c r="M147" s="7">
        <f t="shared" si="8"/>
        <v>47640</v>
      </c>
      <c r="N147" s="7"/>
      <c r="O147" s="7"/>
    </row>
    <row r="148" spans="1:15" x14ac:dyDescent="0.25">
      <c r="A148" t="s">
        <v>156</v>
      </c>
      <c r="B148" t="s">
        <v>1</v>
      </c>
      <c r="C148" t="s">
        <v>20</v>
      </c>
      <c r="D148">
        <v>7</v>
      </c>
      <c r="E148">
        <v>35000</v>
      </c>
      <c r="F148">
        <v>-105.452708684092</v>
      </c>
      <c r="G148">
        <v>82.461241605498103</v>
      </c>
      <c r="H148">
        <v>2500</v>
      </c>
      <c r="I148">
        <v>150</v>
      </c>
      <c r="J148">
        <v>100</v>
      </c>
      <c r="K148" t="str">
        <f t="shared" si="6"/>
        <v>Houston → Dubai</v>
      </c>
      <c r="L148" s="5">
        <f t="shared" si="7"/>
        <v>21.428571428571427</v>
      </c>
      <c r="M148" s="7">
        <f t="shared" si="8"/>
        <v>15000</v>
      </c>
      <c r="N148" s="7"/>
      <c r="O148" s="7"/>
    </row>
    <row r="149" spans="1:15" x14ac:dyDescent="0.25">
      <c r="A149" t="s">
        <v>157</v>
      </c>
      <c r="B149" t="s">
        <v>6</v>
      </c>
      <c r="C149" t="s">
        <v>2</v>
      </c>
      <c r="D149">
        <v>8</v>
      </c>
      <c r="E149">
        <v>35000</v>
      </c>
      <c r="F149">
        <v>-154.38301733756401</v>
      </c>
      <c r="G149">
        <v>-50.3197192358246</v>
      </c>
      <c r="H149">
        <v>2000</v>
      </c>
      <c r="I149">
        <v>450</v>
      </c>
      <c r="J149">
        <v>150</v>
      </c>
      <c r="K149" t="str">
        <f t="shared" si="6"/>
        <v>Chicago → Tokyo</v>
      </c>
      <c r="L149" s="5">
        <f t="shared" si="7"/>
        <v>56.25</v>
      </c>
      <c r="M149" s="7">
        <f t="shared" si="8"/>
        <v>67500</v>
      </c>
      <c r="N149" s="7"/>
      <c r="O149" s="7"/>
    </row>
    <row r="150" spans="1:15" x14ac:dyDescent="0.25">
      <c r="A150" t="s">
        <v>158</v>
      </c>
      <c r="B150" t="s">
        <v>11</v>
      </c>
      <c r="C150" t="s">
        <v>13</v>
      </c>
      <c r="D150">
        <v>8</v>
      </c>
      <c r="E150">
        <v>30000</v>
      </c>
      <c r="F150">
        <v>-155.15726665938601</v>
      </c>
      <c r="G150">
        <v>69.512718983282099</v>
      </c>
      <c r="H150">
        <v>2882</v>
      </c>
      <c r="I150">
        <v>354</v>
      </c>
      <c r="J150">
        <v>125</v>
      </c>
      <c r="K150" t="str">
        <f t="shared" si="6"/>
        <v>Los Angeles → Paris</v>
      </c>
      <c r="L150" s="5">
        <f t="shared" si="7"/>
        <v>44.25</v>
      </c>
      <c r="M150" s="7">
        <f t="shared" si="8"/>
        <v>44250</v>
      </c>
      <c r="N150" s="7"/>
      <c r="O150" s="7"/>
    </row>
    <row r="151" spans="1:15" x14ac:dyDescent="0.25">
      <c r="A151" t="s">
        <v>159</v>
      </c>
      <c r="B151" t="s">
        <v>1</v>
      </c>
      <c r="C151" t="s">
        <v>2</v>
      </c>
      <c r="D151">
        <v>10</v>
      </c>
      <c r="E151">
        <v>35000</v>
      </c>
      <c r="F151">
        <v>158.682427381119</v>
      </c>
      <c r="G151">
        <v>78.174740550148201</v>
      </c>
      <c r="H151">
        <v>2000</v>
      </c>
      <c r="I151">
        <v>600</v>
      </c>
      <c r="J151">
        <v>150</v>
      </c>
      <c r="K151" t="str">
        <f t="shared" si="6"/>
        <v>Houston → Tokyo</v>
      </c>
      <c r="L151" s="5">
        <f t="shared" si="7"/>
        <v>60</v>
      </c>
      <c r="M151" s="7">
        <f t="shared" si="8"/>
        <v>90000</v>
      </c>
      <c r="N151" s="7"/>
      <c r="O151" s="7"/>
    </row>
    <row r="152" spans="1:15" x14ac:dyDescent="0.25">
      <c r="A152" t="s">
        <v>160</v>
      </c>
      <c r="B152" t="s">
        <v>28</v>
      </c>
      <c r="C152" t="s">
        <v>15</v>
      </c>
      <c r="D152">
        <v>9</v>
      </c>
      <c r="E152">
        <v>30000</v>
      </c>
      <c r="F152">
        <v>2.49135766626046</v>
      </c>
      <c r="G152">
        <v>74.955698015771901</v>
      </c>
      <c r="H152">
        <v>3000</v>
      </c>
      <c r="I152">
        <v>374</v>
      </c>
      <c r="J152">
        <v>200</v>
      </c>
      <c r="K152" t="str">
        <f t="shared" si="6"/>
        <v>New York → London</v>
      </c>
      <c r="L152" s="5">
        <f t="shared" si="7"/>
        <v>41.555555555555557</v>
      </c>
      <c r="M152" s="7">
        <f t="shared" si="8"/>
        <v>74800</v>
      </c>
      <c r="N152" s="7"/>
      <c r="O152" s="7"/>
    </row>
    <row r="153" spans="1:15" x14ac:dyDescent="0.25">
      <c r="A153" t="s">
        <v>161</v>
      </c>
      <c r="B153" t="s">
        <v>28</v>
      </c>
      <c r="C153" t="s">
        <v>13</v>
      </c>
      <c r="D153">
        <v>12</v>
      </c>
      <c r="E153">
        <v>35000</v>
      </c>
      <c r="F153">
        <v>-32.611654145873402</v>
      </c>
      <c r="G153">
        <v>24.3745842351438</v>
      </c>
      <c r="H153">
        <v>2500</v>
      </c>
      <c r="I153">
        <v>354</v>
      </c>
      <c r="J153">
        <v>150</v>
      </c>
      <c r="K153" t="str">
        <f t="shared" si="6"/>
        <v>New York → Paris</v>
      </c>
      <c r="L153" s="5">
        <f t="shared" si="7"/>
        <v>29.5</v>
      </c>
      <c r="M153" s="7">
        <f t="shared" si="8"/>
        <v>53100</v>
      </c>
      <c r="N153" s="7"/>
      <c r="O153" s="7"/>
    </row>
    <row r="154" spans="1:15" x14ac:dyDescent="0.25">
      <c r="A154" t="s">
        <v>162</v>
      </c>
      <c r="B154" t="s">
        <v>28</v>
      </c>
      <c r="C154" t="s">
        <v>20</v>
      </c>
      <c r="D154">
        <v>11</v>
      </c>
      <c r="E154">
        <v>30000</v>
      </c>
      <c r="F154">
        <v>111.916289162851</v>
      </c>
      <c r="G154">
        <v>23.367717798247401</v>
      </c>
      <c r="H154">
        <v>2500</v>
      </c>
      <c r="I154">
        <v>300</v>
      </c>
      <c r="J154">
        <v>134</v>
      </c>
      <c r="K154" t="str">
        <f t="shared" si="6"/>
        <v>New York → Dubai</v>
      </c>
      <c r="L154" s="5">
        <f t="shared" si="7"/>
        <v>27.272727272727273</v>
      </c>
      <c r="M154" s="7">
        <f t="shared" si="8"/>
        <v>40200</v>
      </c>
      <c r="N154" s="7"/>
      <c r="O154" s="7"/>
    </row>
    <row r="155" spans="1:15" x14ac:dyDescent="0.25">
      <c r="A155" t="s">
        <v>163</v>
      </c>
      <c r="B155" t="s">
        <v>28</v>
      </c>
      <c r="C155" t="s">
        <v>15</v>
      </c>
      <c r="D155">
        <v>5</v>
      </c>
      <c r="E155">
        <v>30000</v>
      </c>
      <c r="F155">
        <v>120.897334047786</v>
      </c>
      <c r="G155">
        <v>-17.422086026911899</v>
      </c>
      <c r="H155">
        <v>3000</v>
      </c>
      <c r="I155">
        <v>300</v>
      </c>
      <c r="J155">
        <v>100</v>
      </c>
      <c r="K155" t="str">
        <f t="shared" si="6"/>
        <v>New York → London</v>
      </c>
      <c r="L155" s="5">
        <f t="shared" si="7"/>
        <v>60</v>
      </c>
      <c r="M155" s="7">
        <f t="shared" si="8"/>
        <v>30000</v>
      </c>
      <c r="N155" s="7"/>
      <c r="O155" s="7"/>
    </row>
    <row r="156" spans="1:15" x14ac:dyDescent="0.25">
      <c r="A156" t="s">
        <v>164</v>
      </c>
      <c r="B156" t="s">
        <v>6</v>
      </c>
      <c r="C156" t="s">
        <v>13</v>
      </c>
      <c r="D156">
        <v>15</v>
      </c>
      <c r="E156">
        <v>35000</v>
      </c>
      <c r="F156">
        <v>-60.411228078382301</v>
      </c>
      <c r="G156">
        <v>45.431618814681798</v>
      </c>
      <c r="H156">
        <v>2000</v>
      </c>
      <c r="I156">
        <v>600</v>
      </c>
      <c r="J156">
        <v>100</v>
      </c>
      <c r="K156" t="str">
        <f t="shared" si="6"/>
        <v>Chicago → Paris</v>
      </c>
      <c r="L156" s="5">
        <f t="shared" si="7"/>
        <v>40</v>
      </c>
      <c r="M156" s="7">
        <f t="shared" si="8"/>
        <v>60000</v>
      </c>
      <c r="N156" s="7"/>
      <c r="O156" s="7"/>
    </row>
    <row r="157" spans="1:15" x14ac:dyDescent="0.25">
      <c r="A157" t="s">
        <v>165</v>
      </c>
      <c r="B157" t="s">
        <v>28</v>
      </c>
      <c r="C157" t="s">
        <v>20</v>
      </c>
      <c r="D157">
        <v>11</v>
      </c>
      <c r="E157">
        <v>30000</v>
      </c>
      <c r="F157">
        <v>69.702500690566296</v>
      </c>
      <c r="G157">
        <v>5.6329233031677397</v>
      </c>
      <c r="H157">
        <v>2588</v>
      </c>
      <c r="I157">
        <v>402</v>
      </c>
      <c r="J157">
        <v>134</v>
      </c>
      <c r="K157" t="str">
        <f t="shared" si="6"/>
        <v>New York → Dubai</v>
      </c>
      <c r="L157" s="5">
        <f t="shared" si="7"/>
        <v>36.545454545454547</v>
      </c>
      <c r="M157" s="7">
        <f t="shared" si="8"/>
        <v>53868</v>
      </c>
      <c r="N157" s="7"/>
      <c r="O157" s="7"/>
    </row>
    <row r="158" spans="1:15" x14ac:dyDescent="0.25">
      <c r="A158" t="s">
        <v>166</v>
      </c>
      <c r="B158" t="s">
        <v>1</v>
      </c>
      <c r="C158" t="s">
        <v>15</v>
      </c>
      <c r="D158">
        <v>7</v>
      </c>
      <c r="E158">
        <v>35000</v>
      </c>
      <c r="F158">
        <v>97.604213706679204</v>
      </c>
      <c r="G158">
        <v>31.938852821093001</v>
      </c>
      <c r="H158">
        <v>2846</v>
      </c>
      <c r="I158">
        <v>450</v>
      </c>
      <c r="J158">
        <v>50</v>
      </c>
      <c r="K158" t="str">
        <f t="shared" si="6"/>
        <v>Houston → London</v>
      </c>
      <c r="L158" s="5">
        <f t="shared" si="7"/>
        <v>64.285714285714292</v>
      </c>
      <c r="M158" s="7">
        <f t="shared" si="8"/>
        <v>22500</v>
      </c>
      <c r="N158" s="7"/>
      <c r="O158" s="7"/>
    </row>
    <row r="159" spans="1:15" x14ac:dyDescent="0.25">
      <c r="A159" t="s">
        <v>167</v>
      </c>
      <c r="B159" t="s">
        <v>4</v>
      </c>
      <c r="C159" t="s">
        <v>15</v>
      </c>
      <c r="D159">
        <v>9</v>
      </c>
      <c r="E159">
        <v>35000</v>
      </c>
      <c r="F159">
        <v>55.674247271743603</v>
      </c>
      <c r="G159">
        <v>-12.8775773072168</v>
      </c>
      <c r="H159">
        <v>3500</v>
      </c>
      <c r="I159">
        <v>300</v>
      </c>
      <c r="J159">
        <v>150</v>
      </c>
      <c r="K159" t="str">
        <f t="shared" si="6"/>
        <v>Miami → London</v>
      </c>
      <c r="L159" s="5">
        <f t="shared" si="7"/>
        <v>33.333333333333336</v>
      </c>
      <c r="M159" s="7">
        <f t="shared" si="8"/>
        <v>45000</v>
      </c>
      <c r="N159" s="7"/>
      <c r="O159" s="7"/>
    </row>
    <row r="160" spans="1:15" x14ac:dyDescent="0.25">
      <c r="A160" t="s">
        <v>168</v>
      </c>
      <c r="B160" t="s">
        <v>28</v>
      </c>
      <c r="C160" t="s">
        <v>13</v>
      </c>
      <c r="D160">
        <v>9</v>
      </c>
      <c r="E160">
        <v>30000</v>
      </c>
      <c r="F160">
        <v>-125.425773071964</v>
      </c>
      <c r="G160">
        <v>41.669363527765</v>
      </c>
      <c r="H160">
        <v>2847</v>
      </c>
      <c r="I160">
        <v>354</v>
      </c>
      <c r="J160">
        <v>122</v>
      </c>
      <c r="K160" t="str">
        <f t="shared" si="6"/>
        <v>New York → Paris</v>
      </c>
      <c r="L160" s="5">
        <f t="shared" si="7"/>
        <v>39.333333333333336</v>
      </c>
      <c r="M160" s="7">
        <f t="shared" si="8"/>
        <v>43188</v>
      </c>
      <c r="N160" s="7"/>
      <c r="O160" s="7"/>
    </row>
    <row r="161" spans="1:15" x14ac:dyDescent="0.25">
      <c r="A161" t="s">
        <v>169</v>
      </c>
      <c r="B161" t="s">
        <v>6</v>
      </c>
      <c r="C161" t="s">
        <v>9</v>
      </c>
      <c r="D161">
        <v>9</v>
      </c>
      <c r="E161">
        <v>35000</v>
      </c>
      <c r="F161">
        <v>135.317910066141</v>
      </c>
      <c r="G161">
        <v>58.404873168818803</v>
      </c>
      <c r="H161">
        <v>2500</v>
      </c>
      <c r="I161">
        <v>150</v>
      </c>
      <c r="J161">
        <v>100</v>
      </c>
      <c r="K161" t="str">
        <f t="shared" si="6"/>
        <v>Chicago → Sydney</v>
      </c>
      <c r="L161" s="5">
        <f t="shared" si="7"/>
        <v>16.666666666666668</v>
      </c>
      <c r="M161" s="7">
        <f t="shared" si="8"/>
        <v>15000</v>
      </c>
      <c r="N161" s="7"/>
      <c r="O161" s="7"/>
    </row>
    <row r="162" spans="1:15" x14ac:dyDescent="0.25">
      <c r="A162" t="s">
        <v>170</v>
      </c>
      <c r="B162" t="s">
        <v>6</v>
      </c>
      <c r="C162" t="s">
        <v>15</v>
      </c>
      <c r="D162">
        <v>7</v>
      </c>
      <c r="E162">
        <v>32000</v>
      </c>
      <c r="F162">
        <v>14.074038984963099</v>
      </c>
      <c r="G162">
        <v>-63.6414738114931</v>
      </c>
      <c r="H162">
        <v>2500</v>
      </c>
      <c r="I162">
        <v>150</v>
      </c>
      <c r="J162">
        <v>100</v>
      </c>
      <c r="K162" t="str">
        <f t="shared" si="6"/>
        <v>Chicago → London</v>
      </c>
      <c r="L162" s="5">
        <f t="shared" si="7"/>
        <v>21.428571428571427</v>
      </c>
      <c r="M162" s="7">
        <f t="shared" si="8"/>
        <v>15000</v>
      </c>
      <c r="N162" s="7"/>
      <c r="O162" s="7"/>
    </row>
    <row r="163" spans="1:15" x14ac:dyDescent="0.25">
      <c r="A163" t="s">
        <v>171</v>
      </c>
      <c r="B163" t="s">
        <v>28</v>
      </c>
      <c r="C163" t="s">
        <v>15</v>
      </c>
      <c r="D163">
        <v>9</v>
      </c>
      <c r="E163">
        <v>30000</v>
      </c>
      <c r="F163">
        <v>-78.309926506798703</v>
      </c>
      <c r="G163">
        <v>59.927348803360999</v>
      </c>
      <c r="H163">
        <v>3500</v>
      </c>
      <c r="I163">
        <v>374</v>
      </c>
      <c r="J163">
        <v>100</v>
      </c>
      <c r="K163" t="str">
        <f t="shared" si="6"/>
        <v>New York → London</v>
      </c>
      <c r="L163" s="5">
        <f t="shared" si="7"/>
        <v>41.555555555555557</v>
      </c>
      <c r="M163" s="7">
        <f t="shared" si="8"/>
        <v>37400</v>
      </c>
      <c r="N163" s="7"/>
      <c r="O163" s="7"/>
    </row>
    <row r="164" spans="1:15" x14ac:dyDescent="0.25">
      <c r="A164" t="s">
        <v>172</v>
      </c>
      <c r="B164" t="s">
        <v>4</v>
      </c>
      <c r="C164" t="s">
        <v>20</v>
      </c>
      <c r="D164">
        <v>12</v>
      </c>
      <c r="E164">
        <v>30000</v>
      </c>
      <c r="F164">
        <v>-26.917853242430201</v>
      </c>
      <c r="G164">
        <v>7.2533757222553001</v>
      </c>
      <c r="H164">
        <v>2700</v>
      </c>
      <c r="I164">
        <v>450</v>
      </c>
      <c r="J164">
        <v>50</v>
      </c>
      <c r="K164" t="str">
        <f t="shared" si="6"/>
        <v>Miami → Dubai</v>
      </c>
      <c r="L164" s="5">
        <f t="shared" si="7"/>
        <v>37.5</v>
      </c>
      <c r="M164" s="7">
        <f t="shared" si="8"/>
        <v>22500</v>
      </c>
      <c r="N164" s="7"/>
      <c r="O164" s="7"/>
    </row>
    <row r="165" spans="1:15" x14ac:dyDescent="0.25">
      <c r="A165" t="s">
        <v>173</v>
      </c>
      <c r="B165" t="s">
        <v>28</v>
      </c>
      <c r="C165" t="s">
        <v>2</v>
      </c>
      <c r="D165">
        <v>7</v>
      </c>
      <c r="E165">
        <v>30000</v>
      </c>
      <c r="F165">
        <v>-166.47440745639301</v>
      </c>
      <c r="G165">
        <v>62.039863636240398</v>
      </c>
      <c r="H165">
        <v>3500</v>
      </c>
      <c r="I165">
        <v>150</v>
      </c>
      <c r="J165">
        <v>50</v>
      </c>
      <c r="K165" t="str">
        <f t="shared" si="6"/>
        <v>New York → Tokyo</v>
      </c>
      <c r="L165" s="5">
        <f t="shared" si="7"/>
        <v>21.428571428571427</v>
      </c>
      <c r="M165" s="7">
        <f t="shared" si="8"/>
        <v>7500</v>
      </c>
      <c r="N165" s="7"/>
      <c r="O165" s="7"/>
    </row>
    <row r="166" spans="1:15" x14ac:dyDescent="0.25">
      <c r="A166" t="s">
        <v>174</v>
      </c>
      <c r="B166" t="s">
        <v>6</v>
      </c>
      <c r="C166" t="s">
        <v>13</v>
      </c>
      <c r="D166">
        <v>10</v>
      </c>
      <c r="E166">
        <v>30000</v>
      </c>
      <c r="F166">
        <v>-133.96795155992999</v>
      </c>
      <c r="G166">
        <v>-12.3656928586174</v>
      </c>
      <c r="H166">
        <v>2928</v>
      </c>
      <c r="I166">
        <v>354</v>
      </c>
      <c r="J166">
        <v>121</v>
      </c>
      <c r="K166" t="str">
        <f t="shared" si="6"/>
        <v>Chicago → Paris</v>
      </c>
      <c r="L166" s="5">
        <f t="shared" si="7"/>
        <v>35.4</v>
      </c>
      <c r="M166" s="7">
        <f t="shared" si="8"/>
        <v>42834</v>
      </c>
      <c r="N166" s="7"/>
      <c r="O166" s="7"/>
    </row>
    <row r="167" spans="1:15" x14ac:dyDescent="0.25">
      <c r="A167" t="s">
        <v>175</v>
      </c>
      <c r="B167" t="s">
        <v>11</v>
      </c>
      <c r="C167" t="s">
        <v>13</v>
      </c>
      <c r="D167">
        <v>8</v>
      </c>
      <c r="E167">
        <v>30000</v>
      </c>
      <c r="F167">
        <v>95.596830185709905</v>
      </c>
      <c r="G167">
        <v>-21.7727126310537</v>
      </c>
      <c r="H167">
        <v>2882</v>
      </c>
      <c r="I167">
        <v>354</v>
      </c>
      <c r="J167">
        <v>125</v>
      </c>
      <c r="K167" t="str">
        <f t="shared" si="6"/>
        <v>Los Angeles → Paris</v>
      </c>
      <c r="L167" s="5">
        <f t="shared" si="7"/>
        <v>44.25</v>
      </c>
      <c r="M167" s="7">
        <f t="shared" si="8"/>
        <v>44250</v>
      </c>
      <c r="N167" s="7"/>
      <c r="O167" s="7"/>
    </row>
    <row r="168" spans="1:15" x14ac:dyDescent="0.25">
      <c r="A168" t="s">
        <v>176</v>
      </c>
      <c r="B168" t="s">
        <v>1</v>
      </c>
      <c r="C168" t="s">
        <v>9</v>
      </c>
      <c r="D168">
        <v>7</v>
      </c>
      <c r="E168">
        <v>30000</v>
      </c>
      <c r="F168">
        <v>-179.995811488068</v>
      </c>
      <c r="G168">
        <v>74.710931853100007</v>
      </c>
      <c r="H168">
        <v>2500</v>
      </c>
      <c r="I168">
        <v>600</v>
      </c>
      <c r="J168">
        <v>150</v>
      </c>
      <c r="K168" t="str">
        <f t="shared" si="6"/>
        <v>Houston → Sydney</v>
      </c>
      <c r="L168" s="5">
        <f t="shared" si="7"/>
        <v>85.714285714285708</v>
      </c>
      <c r="M168" s="7">
        <f t="shared" si="8"/>
        <v>90000</v>
      </c>
      <c r="N168" s="7"/>
      <c r="O168" s="7"/>
    </row>
    <row r="169" spans="1:15" x14ac:dyDescent="0.25">
      <c r="A169" t="s">
        <v>177</v>
      </c>
      <c r="B169" t="s">
        <v>6</v>
      </c>
      <c r="C169" t="s">
        <v>9</v>
      </c>
      <c r="D169">
        <v>5</v>
      </c>
      <c r="E169">
        <v>30000</v>
      </c>
      <c r="F169">
        <v>-30.0363017463748</v>
      </c>
      <c r="G169">
        <v>-44.789531841287797</v>
      </c>
      <c r="H169">
        <v>3000</v>
      </c>
      <c r="I169">
        <v>150</v>
      </c>
      <c r="J169">
        <v>200</v>
      </c>
      <c r="K169" t="str">
        <f t="shared" si="6"/>
        <v>Chicago → Sydney</v>
      </c>
      <c r="L169" s="5">
        <f t="shared" si="7"/>
        <v>30</v>
      </c>
      <c r="M169" s="7">
        <f t="shared" si="8"/>
        <v>30000</v>
      </c>
      <c r="N169" s="7"/>
      <c r="O169" s="7"/>
    </row>
    <row r="170" spans="1:15" x14ac:dyDescent="0.25">
      <c r="A170" t="s">
        <v>178</v>
      </c>
      <c r="B170" t="s">
        <v>28</v>
      </c>
      <c r="C170" t="s">
        <v>13</v>
      </c>
      <c r="D170">
        <v>9</v>
      </c>
      <c r="E170">
        <v>30000</v>
      </c>
      <c r="F170">
        <v>8.1036651908118493</v>
      </c>
      <c r="G170">
        <v>61.958218551505801</v>
      </c>
      <c r="H170">
        <v>2847</v>
      </c>
      <c r="I170">
        <v>354</v>
      </c>
      <c r="J170">
        <v>122</v>
      </c>
      <c r="K170" t="str">
        <f t="shared" si="6"/>
        <v>New York → Paris</v>
      </c>
      <c r="L170" s="5">
        <f t="shared" si="7"/>
        <v>39.333333333333336</v>
      </c>
      <c r="M170" s="7">
        <f t="shared" si="8"/>
        <v>43188</v>
      </c>
      <c r="N170" s="7"/>
      <c r="O170" s="7"/>
    </row>
    <row r="171" spans="1:15" x14ac:dyDescent="0.25">
      <c r="A171" t="s">
        <v>179</v>
      </c>
      <c r="B171" t="s">
        <v>1</v>
      </c>
      <c r="C171" t="s">
        <v>9</v>
      </c>
      <c r="D171">
        <v>9</v>
      </c>
      <c r="E171">
        <v>30000</v>
      </c>
      <c r="F171">
        <v>-160.33160879965001</v>
      </c>
      <c r="G171">
        <v>-2.8762969483072598</v>
      </c>
      <c r="H171">
        <v>2500</v>
      </c>
      <c r="I171">
        <v>356</v>
      </c>
      <c r="J171">
        <v>127</v>
      </c>
      <c r="K171" t="str">
        <f t="shared" si="6"/>
        <v>Houston → Sydney</v>
      </c>
      <c r="L171" s="5">
        <f t="shared" si="7"/>
        <v>39.555555555555557</v>
      </c>
      <c r="M171" s="7">
        <f t="shared" si="8"/>
        <v>45212</v>
      </c>
      <c r="N171" s="7"/>
      <c r="O171" s="7"/>
    </row>
    <row r="172" spans="1:15" x14ac:dyDescent="0.25">
      <c r="A172" t="s">
        <v>180</v>
      </c>
      <c r="B172" t="s">
        <v>28</v>
      </c>
      <c r="C172" t="s">
        <v>20</v>
      </c>
      <c r="D172">
        <v>5</v>
      </c>
      <c r="E172">
        <v>30000</v>
      </c>
      <c r="F172">
        <v>170.30813867003999</v>
      </c>
      <c r="G172">
        <v>2.5371796592267502</v>
      </c>
      <c r="H172">
        <v>3500</v>
      </c>
      <c r="I172">
        <v>402</v>
      </c>
      <c r="J172">
        <v>200</v>
      </c>
      <c r="K172" t="str">
        <f t="shared" si="6"/>
        <v>New York → Dubai</v>
      </c>
      <c r="L172" s="5">
        <f t="shared" si="7"/>
        <v>80.400000000000006</v>
      </c>
      <c r="M172" s="7">
        <f t="shared" si="8"/>
        <v>80400</v>
      </c>
      <c r="N172" s="7"/>
      <c r="O172" s="7"/>
    </row>
    <row r="173" spans="1:15" x14ac:dyDescent="0.25">
      <c r="A173" t="s">
        <v>181</v>
      </c>
      <c r="B173" t="s">
        <v>28</v>
      </c>
      <c r="C173" t="s">
        <v>13</v>
      </c>
      <c r="D173">
        <v>12</v>
      </c>
      <c r="E173">
        <v>30000</v>
      </c>
      <c r="F173">
        <v>-98.594880750118094</v>
      </c>
      <c r="G173">
        <v>-34.475709331892901</v>
      </c>
      <c r="H173">
        <v>2000</v>
      </c>
      <c r="I173">
        <v>300</v>
      </c>
      <c r="J173">
        <v>200</v>
      </c>
      <c r="K173" t="str">
        <f t="shared" si="6"/>
        <v>New York → Paris</v>
      </c>
      <c r="L173" s="5">
        <f t="shared" si="7"/>
        <v>25</v>
      </c>
      <c r="M173" s="7">
        <f t="shared" si="8"/>
        <v>60000</v>
      </c>
      <c r="N173" s="7"/>
      <c r="O173" s="7"/>
    </row>
    <row r="174" spans="1:15" x14ac:dyDescent="0.25">
      <c r="A174" t="s">
        <v>182</v>
      </c>
      <c r="B174" t="s">
        <v>11</v>
      </c>
      <c r="C174" t="s">
        <v>9</v>
      </c>
      <c r="D174">
        <v>8</v>
      </c>
      <c r="E174">
        <v>30000</v>
      </c>
      <c r="F174">
        <v>-70.488460930938899</v>
      </c>
      <c r="G174">
        <v>13.1475961114228</v>
      </c>
      <c r="H174">
        <v>3000</v>
      </c>
      <c r="I174">
        <v>356</v>
      </c>
      <c r="J174">
        <v>145</v>
      </c>
      <c r="K174" t="str">
        <f t="shared" si="6"/>
        <v>Los Angeles → Sydney</v>
      </c>
      <c r="L174" s="5">
        <f t="shared" si="7"/>
        <v>44.5</v>
      </c>
      <c r="M174" s="7">
        <f t="shared" si="8"/>
        <v>51620</v>
      </c>
      <c r="N174" s="7"/>
      <c r="O174" s="7"/>
    </row>
    <row r="175" spans="1:15" x14ac:dyDescent="0.25">
      <c r="A175" t="s">
        <v>183</v>
      </c>
      <c r="B175" t="s">
        <v>1</v>
      </c>
      <c r="C175" t="s">
        <v>13</v>
      </c>
      <c r="D175">
        <v>9</v>
      </c>
      <c r="E175">
        <v>30000</v>
      </c>
      <c r="F175">
        <v>-70.580695588190196</v>
      </c>
      <c r="G175">
        <v>-31.461984670282</v>
      </c>
      <c r="H175">
        <v>2647</v>
      </c>
      <c r="I175">
        <v>354</v>
      </c>
      <c r="J175">
        <v>113</v>
      </c>
      <c r="K175" t="str">
        <f t="shared" si="6"/>
        <v>Houston → Paris</v>
      </c>
      <c r="L175" s="5">
        <f t="shared" si="7"/>
        <v>39.333333333333336</v>
      </c>
      <c r="M175" s="7">
        <f t="shared" si="8"/>
        <v>40002</v>
      </c>
      <c r="N175" s="7"/>
      <c r="O175" s="7"/>
    </row>
    <row r="176" spans="1:15" x14ac:dyDescent="0.25">
      <c r="A176" t="s">
        <v>184</v>
      </c>
      <c r="B176" t="s">
        <v>1</v>
      </c>
      <c r="C176" t="s">
        <v>2</v>
      </c>
      <c r="D176">
        <v>10</v>
      </c>
      <c r="E176">
        <v>30000</v>
      </c>
      <c r="F176">
        <v>-97.050001637753994</v>
      </c>
      <c r="G176">
        <v>-82.931505436502604</v>
      </c>
      <c r="H176">
        <v>2550</v>
      </c>
      <c r="I176">
        <v>397</v>
      </c>
      <c r="J176">
        <v>120</v>
      </c>
      <c r="K176" t="str">
        <f t="shared" si="6"/>
        <v>Houston → Tokyo</v>
      </c>
      <c r="L176" s="5">
        <f t="shared" si="7"/>
        <v>39.700000000000003</v>
      </c>
      <c r="M176" s="7">
        <f t="shared" si="8"/>
        <v>47640</v>
      </c>
      <c r="N176" s="7"/>
      <c r="O176" s="7"/>
    </row>
    <row r="177" spans="1:15" x14ac:dyDescent="0.25">
      <c r="A177" t="s">
        <v>185</v>
      </c>
      <c r="B177" t="s">
        <v>11</v>
      </c>
      <c r="C177" t="s">
        <v>15</v>
      </c>
      <c r="D177">
        <v>8</v>
      </c>
      <c r="E177">
        <v>30000</v>
      </c>
      <c r="F177">
        <v>-179.469424048928</v>
      </c>
      <c r="G177">
        <v>-41.040251038015903</v>
      </c>
      <c r="H177">
        <v>3000</v>
      </c>
      <c r="I177">
        <v>300</v>
      </c>
      <c r="J177">
        <v>150</v>
      </c>
      <c r="K177" t="str">
        <f t="shared" si="6"/>
        <v>Los Angeles → London</v>
      </c>
      <c r="L177" s="5">
        <f t="shared" si="7"/>
        <v>37.5</v>
      </c>
      <c r="M177" s="7">
        <f t="shared" si="8"/>
        <v>45000</v>
      </c>
      <c r="N177" s="7"/>
      <c r="O177" s="7"/>
    </row>
    <row r="178" spans="1:15" x14ac:dyDescent="0.25">
      <c r="A178" t="s">
        <v>186</v>
      </c>
      <c r="B178" t="s">
        <v>6</v>
      </c>
      <c r="C178" t="s">
        <v>13</v>
      </c>
      <c r="D178">
        <v>10</v>
      </c>
      <c r="E178">
        <v>30000</v>
      </c>
      <c r="F178">
        <v>82.564125871678698</v>
      </c>
      <c r="G178">
        <v>-88.851772186813704</v>
      </c>
      <c r="H178">
        <v>2500</v>
      </c>
      <c r="I178">
        <v>300</v>
      </c>
      <c r="J178">
        <v>200</v>
      </c>
      <c r="K178" t="str">
        <f t="shared" si="6"/>
        <v>Chicago → Paris</v>
      </c>
      <c r="L178" s="5">
        <f t="shared" si="7"/>
        <v>30</v>
      </c>
      <c r="M178" s="7">
        <f t="shared" si="8"/>
        <v>60000</v>
      </c>
      <c r="N178" s="7"/>
      <c r="O178" s="7"/>
    </row>
    <row r="179" spans="1:15" x14ac:dyDescent="0.25">
      <c r="A179" t="s">
        <v>187</v>
      </c>
      <c r="B179" t="s">
        <v>28</v>
      </c>
      <c r="C179" t="s">
        <v>15</v>
      </c>
      <c r="D179">
        <v>15</v>
      </c>
      <c r="E179">
        <v>32000</v>
      </c>
      <c r="F179">
        <v>168.064379927743</v>
      </c>
      <c r="G179">
        <v>86.103861670234195</v>
      </c>
      <c r="H179">
        <v>2500</v>
      </c>
      <c r="I179">
        <v>300</v>
      </c>
      <c r="J179">
        <v>100</v>
      </c>
      <c r="K179" t="str">
        <f t="shared" si="6"/>
        <v>New York → London</v>
      </c>
      <c r="L179" s="5">
        <f t="shared" si="7"/>
        <v>20</v>
      </c>
      <c r="M179" s="7">
        <f t="shared" si="8"/>
        <v>30000</v>
      </c>
      <c r="N179" s="7"/>
      <c r="O179" s="7"/>
    </row>
    <row r="180" spans="1:15" x14ac:dyDescent="0.25">
      <c r="A180" t="s">
        <v>188</v>
      </c>
      <c r="B180" t="s">
        <v>4</v>
      </c>
      <c r="C180" t="s">
        <v>9</v>
      </c>
      <c r="D180">
        <v>12</v>
      </c>
      <c r="E180">
        <v>35000</v>
      </c>
      <c r="F180">
        <v>-99.254346017383796</v>
      </c>
      <c r="G180">
        <v>83.834497767554595</v>
      </c>
      <c r="H180">
        <v>2500</v>
      </c>
      <c r="I180">
        <v>600</v>
      </c>
      <c r="J180">
        <v>105</v>
      </c>
      <c r="K180" t="str">
        <f t="shared" si="6"/>
        <v>Miami → Sydney</v>
      </c>
      <c r="L180" s="5">
        <f t="shared" si="7"/>
        <v>50</v>
      </c>
      <c r="M180" s="7">
        <f t="shared" si="8"/>
        <v>63000</v>
      </c>
      <c r="N180" s="7"/>
      <c r="O180" s="7"/>
    </row>
    <row r="181" spans="1:15" x14ac:dyDescent="0.25">
      <c r="A181" t="s">
        <v>189</v>
      </c>
      <c r="B181" t="s">
        <v>28</v>
      </c>
      <c r="C181" t="s">
        <v>15</v>
      </c>
      <c r="D181">
        <v>9</v>
      </c>
      <c r="E181">
        <v>30000</v>
      </c>
      <c r="F181">
        <v>58.696989049232101</v>
      </c>
      <c r="G181">
        <v>-18.872046454985099</v>
      </c>
      <c r="H181">
        <v>3500</v>
      </c>
      <c r="I181">
        <v>374</v>
      </c>
      <c r="J181">
        <v>200</v>
      </c>
      <c r="K181" t="str">
        <f t="shared" si="6"/>
        <v>New York → London</v>
      </c>
      <c r="L181" s="5">
        <f t="shared" si="7"/>
        <v>41.555555555555557</v>
      </c>
      <c r="M181" s="7">
        <f t="shared" si="8"/>
        <v>74800</v>
      </c>
      <c r="N181" s="7"/>
      <c r="O181" s="7"/>
    </row>
    <row r="182" spans="1:15" x14ac:dyDescent="0.25">
      <c r="A182" t="s">
        <v>190</v>
      </c>
      <c r="B182" t="s">
        <v>28</v>
      </c>
      <c r="C182" t="s">
        <v>13</v>
      </c>
      <c r="D182">
        <v>9</v>
      </c>
      <c r="E182">
        <v>32000</v>
      </c>
      <c r="F182">
        <v>87.082677705137399</v>
      </c>
      <c r="G182">
        <v>41.106753781136298</v>
      </c>
      <c r="H182">
        <v>2500</v>
      </c>
      <c r="I182">
        <v>600</v>
      </c>
      <c r="J182">
        <v>150</v>
      </c>
      <c r="K182" t="str">
        <f t="shared" si="6"/>
        <v>New York → Paris</v>
      </c>
      <c r="L182" s="5">
        <f t="shared" si="7"/>
        <v>66.666666666666671</v>
      </c>
      <c r="M182" s="7">
        <f t="shared" si="8"/>
        <v>90000</v>
      </c>
      <c r="N182" s="7"/>
      <c r="O182" s="7"/>
    </row>
    <row r="183" spans="1:15" x14ac:dyDescent="0.25">
      <c r="A183" t="s">
        <v>191</v>
      </c>
      <c r="B183" t="s">
        <v>6</v>
      </c>
      <c r="C183" t="s">
        <v>2</v>
      </c>
      <c r="D183">
        <v>8</v>
      </c>
      <c r="E183">
        <v>30000</v>
      </c>
      <c r="F183">
        <v>125.433136472589</v>
      </c>
      <c r="G183">
        <v>-27.7549022861235</v>
      </c>
      <c r="H183">
        <v>2583</v>
      </c>
      <c r="I183">
        <v>397</v>
      </c>
      <c r="J183">
        <v>133</v>
      </c>
      <c r="K183" t="str">
        <f t="shared" si="6"/>
        <v>Chicago → Tokyo</v>
      </c>
      <c r="L183" s="5">
        <f t="shared" si="7"/>
        <v>49.625</v>
      </c>
      <c r="M183" s="7">
        <f t="shared" si="8"/>
        <v>52801</v>
      </c>
      <c r="N183" s="7"/>
      <c r="O183" s="7"/>
    </row>
    <row r="184" spans="1:15" x14ac:dyDescent="0.25">
      <c r="A184" t="s">
        <v>192</v>
      </c>
      <c r="B184" t="s">
        <v>28</v>
      </c>
      <c r="C184" t="s">
        <v>9</v>
      </c>
      <c r="D184">
        <v>9</v>
      </c>
      <c r="E184">
        <v>30000</v>
      </c>
      <c r="F184">
        <v>-27.8534890751007</v>
      </c>
      <c r="G184">
        <v>30.796768275475699</v>
      </c>
      <c r="H184">
        <v>2000</v>
      </c>
      <c r="I184">
        <v>150</v>
      </c>
      <c r="J184">
        <v>150</v>
      </c>
      <c r="K184" t="str">
        <f t="shared" si="6"/>
        <v>New York → Sydney</v>
      </c>
      <c r="L184" s="5">
        <f t="shared" si="7"/>
        <v>16.666666666666668</v>
      </c>
      <c r="M184" s="7">
        <f t="shared" si="8"/>
        <v>22500</v>
      </c>
      <c r="N184" s="7"/>
      <c r="O184" s="7"/>
    </row>
    <row r="185" spans="1:15" x14ac:dyDescent="0.25">
      <c r="A185" t="s">
        <v>193</v>
      </c>
      <c r="B185" t="s">
        <v>11</v>
      </c>
      <c r="C185" t="s">
        <v>13</v>
      </c>
      <c r="D185">
        <v>5</v>
      </c>
      <c r="E185">
        <v>30000</v>
      </c>
      <c r="F185">
        <v>-70.944873969445496</v>
      </c>
      <c r="G185">
        <v>54.9774077482762</v>
      </c>
      <c r="H185">
        <v>3500</v>
      </c>
      <c r="I185">
        <v>150</v>
      </c>
      <c r="J185">
        <v>50</v>
      </c>
      <c r="K185" t="str">
        <f t="shared" si="6"/>
        <v>Los Angeles → Paris</v>
      </c>
      <c r="L185" s="5">
        <f t="shared" si="7"/>
        <v>30</v>
      </c>
      <c r="M185" s="7">
        <f t="shared" si="8"/>
        <v>7500</v>
      </c>
      <c r="N185" s="7"/>
      <c r="O185" s="7"/>
    </row>
    <row r="186" spans="1:15" x14ac:dyDescent="0.25">
      <c r="A186" t="s">
        <v>194</v>
      </c>
      <c r="B186" t="s">
        <v>11</v>
      </c>
      <c r="C186" t="s">
        <v>9</v>
      </c>
      <c r="D186">
        <v>8</v>
      </c>
      <c r="E186">
        <v>30000</v>
      </c>
      <c r="F186">
        <v>-62.893751751708798</v>
      </c>
      <c r="G186">
        <v>80.416124044603293</v>
      </c>
      <c r="H186">
        <v>3000</v>
      </c>
      <c r="I186">
        <v>356</v>
      </c>
      <c r="J186">
        <v>145</v>
      </c>
      <c r="K186" t="str">
        <f t="shared" si="6"/>
        <v>Los Angeles → Sydney</v>
      </c>
      <c r="L186" s="5">
        <f t="shared" si="7"/>
        <v>44.5</v>
      </c>
      <c r="M186" s="7">
        <f t="shared" si="8"/>
        <v>51620</v>
      </c>
      <c r="N186" s="7"/>
      <c r="O186" s="7"/>
    </row>
    <row r="187" spans="1:15" x14ac:dyDescent="0.25">
      <c r="A187" t="s">
        <v>195</v>
      </c>
      <c r="B187" t="s">
        <v>1</v>
      </c>
      <c r="C187" t="s">
        <v>20</v>
      </c>
      <c r="D187">
        <v>8</v>
      </c>
      <c r="E187">
        <v>30000</v>
      </c>
      <c r="F187">
        <v>76.543679915464594</v>
      </c>
      <c r="G187">
        <v>-17.961790347059001</v>
      </c>
      <c r="H187">
        <v>2500</v>
      </c>
      <c r="I187">
        <v>402</v>
      </c>
      <c r="J187">
        <v>111</v>
      </c>
      <c r="K187" t="str">
        <f t="shared" si="6"/>
        <v>Houston → Dubai</v>
      </c>
      <c r="L187" s="5">
        <f t="shared" si="7"/>
        <v>50.25</v>
      </c>
      <c r="M187" s="7">
        <f t="shared" si="8"/>
        <v>44622</v>
      </c>
      <c r="N187" s="7"/>
      <c r="O187" s="7"/>
    </row>
    <row r="188" spans="1:15" x14ac:dyDescent="0.25">
      <c r="A188" t="s">
        <v>196</v>
      </c>
      <c r="B188" t="s">
        <v>4</v>
      </c>
      <c r="C188" t="s">
        <v>15</v>
      </c>
      <c r="D188">
        <v>7</v>
      </c>
      <c r="E188">
        <v>35000</v>
      </c>
      <c r="F188">
        <v>114.040607942029</v>
      </c>
      <c r="G188">
        <v>50.993636932088599</v>
      </c>
      <c r="H188">
        <v>3000</v>
      </c>
      <c r="I188">
        <v>150</v>
      </c>
      <c r="J188">
        <v>150</v>
      </c>
      <c r="K188" t="str">
        <f t="shared" si="6"/>
        <v>Miami → London</v>
      </c>
      <c r="L188" s="5">
        <f t="shared" si="7"/>
        <v>21.428571428571427</v>
      </c>
      <c r="M188" s="7">
        <f t="shared" si="8"/>
        <v>22500</v>
      </c>
      <c r="N188" s="7"/>
      <c r="O188" s="7"/>
    </row>
    <row r="189" spans="1:15" x14ac:dyDescent="0.25">
      <c r="A189" t="s">
        <v>197</v>
      </c>
      <c r="B189" t="s">
        <v>28</v>
      </c>
      <c r="C189" t="s">
        <v>20</v>
      </c>
      <c r="D189">
        <v>15</v>
      </c>
      <c r="E189">
        <v>32000</v>
      </c>
      <c r="F189">
        <v>-114.618971607623</v>
      </c>
      <c r="G189">
        <v>-42.132878886218599</v>
      </c>
      <c r="H189">
        <v>2500</v>
      </c>
      <c r="I189">
        <v>402</v>
      </c>
      <c r="J189">
        <v>150</v>
      </c>
      <c r="K189" t="str">
        <f t="shared" si="6"/>
        <v>New York → Dubai</v>
      </c>
      <c r="L189" s="5">
        <f t="shared" si="7"/>
        <v>26.8</v>
      </c>
      <c r="M189" s="7">
        <f t="shared" si="8"/>
        <v>60300</v>
      </c>
      <c r="N189" s="7"/>
      <c r="O189" s="7"/>
    </row>
    <row r="190" spans="1:15" x14ac:dyDescent="0.25">
      <c r="A190" t="s">
        <v>198</v>
      </c>
      <c r="B190" t="s">
        <v>28</v>
      </c>
      <c r="C190" t="s">
        <v>13</v>
      </c>
      <c r="D190">
        <v>7</v>
      </c>
      <c r="E190">
        <v>30000</v>
      </c>
      <c r="F190">
        <v>-46.4612370632045</v>
      </c>
      <c r="G190">
        <v>88.2598146828567</v>
      </c>
      <c r="H190">
        <v>2000</v>
      </c>
      <c r="I190">
        <v>600</v>
      </c>
      <c r="J190">
        <v>50</v>
      </c>
      <c r="K190" t="str">
        <f t="shared" si="6"/>
        <v>New York → Paris</v>
      </c>
      <c r="L190" s="5">
        <f t="shared" si="7"/>
        <v>85.714285714285708</v>
      </c>
      <c r="M190" s="7">
        <f t="shared" si="8"/>
        <v>30000</v>
      </c>
      <c r="N190" s="7"/>
      <c r="O190" s="7"/>
    </row>
    <row r="191" spans="1:15" x14ac:dyDescent="0.25">
      <c r="A191" t="s">
        <v>199</v>
      </c>
      <c r="B191" t="s">
        <v>6</v>
      </c>
      <c r="C191" t="s">
        <v>2</v>
      </c>
      <c r="D191">
        <v>12</v>
      </c>
      <c r="E191">
        <v>35000</v>
      </c>
      <c r="F191">
        <v>144.698470829694</v>
      </c>
      <c r="G191">
        <v>-85.361472222416793</v>
      </c>
      <c r="H191">
        <v>2583</v>
      </c>
      <c r="I191">
        <v>397</v>
      </c>
      <c r="J191">
        <v>100</v>
      </c>
      <c r="K191" t="str">
        <f t="shared" si="6"/>
        <v>Chicago → Tokyo</v>
      </c>
      <c r="L191" s="5">
        <f t="shared" si="7"/>
        <v>33.083333333333336</v>
      </c>
      <c r="M191" s="7">
        <f t="shared" si="8"/>
        <v>39700</v>
      </c>
      <c r="N191" s="7"/>
      <c r="O191" s="7"/>
    </row>
    <row r="192" spans="1:15" x14ac:dyDescent="0.25">
      <c r="A192" t="s">
        <v>200</v>
      </c>
      <c r="B192" t="s">
        <v>11</v>
      </c>
      <c r="C192" t="s">
        <v>9</v>
      </c>
      <c r="D192">
        <v>5</v>
      </c>
      <c r="E192">
        <v>35000</v>
      </c>
      <c r="F192">
        <v>110.409667090106</v>
      </c>
      <c r="G192">
        <v>18.635185170201801</v>
      </c>
      <c r="H192">
        <v>3000</v>
      </c>
      <c r="I192">
        <v>150</v>
      </c>
      <c r="J192">
        <v>200</v>
      </c>
      <c r="K192" t="str">
        <f t="shared" si="6"/>
        <v>Los Angeles → Sydney</v>
      </c>
      <c r="L192" s="5">
        <f t="shared" si="7"/>
        <v>30</v>
      </c>
      <c r="M192" s="7">
        <f t="shared" si="8"/>
        <v>30000</v>
      </c>
      <c r="N192" s="7"/>
      <c r="O192" s="7"/>
    </row>
    <row r="193" spans="1:15" x14ac:dyDescent="0.25">
      <c r="A193" t="s">
        <v>201</v>
      </c>
      <c r="B193" t="s">
        <v>4</v>
      </c>
      <c r="C193" t="s">
        <v>15</v>
      </c>
      <c r="D193">
        <v>12</v>
      </c>
      <c r="E193">
        <v>30000</v>
      </c>
      <c r="F193">
        <v>174.54902499449099</v>
      </c>
      <c r="G193">
        <v>28.711076697238902</v>
      </c>
      <c r="H193">
        <v>2615</v>
      </c>
      <c r="I193">
        <v>450</v>
      </c>
      <c r="J193">
        <v>121</v>
      </c>
      <c r="K193" t="str">
        <f t="shared" si="6"/>
        <v>Miami → London</v>
      </c>
      <c r="L193" s="5">
        <f t="shared" si="7"/>
        <v>37.5</v>
      </c>
      <c r="M193" s="7">
        <f t="shared" si="8"/>
        <v>54450</v>
      </c>
      <c r="N193" s="7"/>
      <c r="O193" s="7"/>
    </row>
    <row r="194" spans="1:15" x14ac:dyDescent="0.25">
      <c r="A194" t="s">
        <v>202</v>
      </c>
      <c r="B194" t="s">
        <v>1</v>
      </c>
      <c r="C194" t="s">
        <v>9</v>
      </c>
      <c r="D194">
        <v>9</v>
      </c>
      <c r="E194">
        <v>30000</v>
      </c>
      <c r="F194">
        <v>91.529373485549101</v>
      </c>
      <c r="G194">
        <v>33.848200273343203</v>
      </c>
      <c r="H194">
        <v>2500</v>
      </c>
      <c r="I194">
        <v>356</v>
      </c>
      <c r="J194">
        <v>127</v>
      </c>
      <c r="K194" t="str">
        <f t="shared" si="6"/>
        <v>Houston → Sydney</v>
      </c>
      <c r="L194" s="5">
        <f t="shared" si="7"/>
        <v>39.555555555555557</v>
      </c>
      <c r="M194" s="7">
        <f t="shared" si="8"/>
        <v>45212</v>
      </c>
      <c r="N194" s="7"/>
      <c r="O194" s="7"/>
    </row>
    <row r="195" spans="1:15" x14ac:dyDescent="0.25">
      <c r="A195" t="s">
        <v>203</v>
      </c>
      <c r="B195" t="s">
        <v>11</v>
      </c>
      <c r="C195" t="s">
        <v>13</v>
      </c>
      <c r="D195">
        <v>8</v>
      </c>
      <c r="E195">
        <v>30000</v>
      </c>
      <c r="F195">
        <v>-38.449727629948001</v>
      </c>
      <c r="G195">
        <v>-68.330235817963995</v>
      </c>
      <c r="H195">
        <v>2882</v>
      </c>
      <c r="I195">
        <v>354</v>
      </c>
      <c r="J195">
        <v>125</v>
      </c>
      <c r="K195" t="str">
        <f t="shared" ref="K195:K258" si="9">B195 &amp; " → " &amp; C195</f>
        <v>Los Angeles → Paris</v>
      </c>
      <c r="L195" s="5">
        <f t="shared" ref="L195:L258" si="10">I195/D195</f>
        <v>44.25</v>
      </c>
      <c r="M195" s="7">
        <f t="shared" ref="M195:M258" si="11">I195*J195</f>
        <v>44250</v>
      </c>
      <c r="N195" s="7"/>
      <c r="O195" s="7"/>
    </row>
    <row r="196" spans="1:15" x14ac:dyDescent="0.25">
      <c r="A196" t="s">
        <v>204</v>
      </c>
      <c r="B196" t="s">
        <v>1</v>
      </c>
      <c r="C196" t="s">
        <v>9</v>
      </c>
      <c r="D196">
        <v>12</v>
      </c>
      <c r="E196">
        <v>32000</v>
      </c>
      <c r="F196">
        <v>32.629620238069599</v>
      </c>
      <c r="G196">
        <v>78.935361025163502</v>
      </c>
      <c r="H196">
        <v>2000</v>
      </c>
      <c r="I196">
        <v>356</v>
      </c>
      <c r="J196">
        <v>127</v>
      </c>
      <c r="K196" t="str">
        <f t="shared" si="9"/>
        <v>Houston → Sydney</v>
      </c>
      <c r="L196" s="5">
        <f t="shared" si="10"/>
        <v>29.666666666666668</v>
      </c>
      <c r="M196" s="7">
        <f t="shared" si="11"/>
        <v>45212</v>
      </c>
      <c r="N196" s="7"/>
      <c r="O196" s="7"/>
    </row>
    <row r="197" spans="1:15" x14ac:dyDescent="0.25">
      <c r="A197" t="s">
        <v>205</v>
      </c>
      <c r="B197" t="s">
        <v>6</v>
      </c>
      <c r="C197" t="s">
        <v>15</v>
      </c>
      <c r="D197">
        <v>12</v>
      </c>
      <c r="E197">
        <v>32000</v>
      </c>
      <c r="F197">
        <v>57.965131529035297</v>
      </c>
      <c r="G197">
        <v>-57.387009770985102</v>
      </c>
      <c r="H197">
        <v>2000</v>
      </c>
      <c r="I197">
        <v>300</v>
      </c>
      <c r="J197">
        <v>150</v>
      </c>
      <c r="K197" t="str">
        <f t="shared" si="9"/>
        <v>Chicago → London</v>
      </c>
      <c r="L197" s="5">
        <f t="shared" si="10"/>
        <v>25</v>
      </c>
      <c r="M197" s="7">
        <f t="shared" si="11"/>
        <v>45000</v>
      </c>
      <c r="N197" s="7"/>
      <c r="O197" s="7"/>
    </row>
    <row r="198" spans="1:15" x14ac:dyDescent="0.25">
      <c r="A198" t="s">
        <v>206</v>
      </c>
      <c r="B198" t="s">
        <v>6</v>
      </c>
      <c r="C198" t="s">
        <v>13</v>
      </c>
      <c r="D198">
        <v>10</v>
      </c>
      <c r="E198">
        <v>30000</v>
      </c>
      <c r="F198">
        <v>-151.755906125835</v>
      </c>
      <c r="G198">
        <v>22.095612583171398</v>
      </c>
      <c r="H198">
        <v>2928</v>
      </c>
      <c r="I198">
        <v>354</v>
      </c>
      <c r="J198">
        <v>121</v>
      </c>
      <c r="K198" t="str">
        <f t="shared" si="9"/>
        <v>Chicago → Paris</v>
      </c>
      <c r="L198" s="5">
        <f t="shared" si="10"/>
        <v>35.4</v>
      </c>
      <c r="M198" s="7">
        <f t="shared" si="11"/>
        <v>42834</v>
      </c>
      <c r="N198" s="7"/>
      <c r="O198" s="7"/>
    </row>
    <row r="199" spans="1:15" x14ac:dyDescent="0.25">
      <c r="A199" t="s">
        <v>207</v>
      </c>
      <c r="B199" t="s">
        <v>28</v>
      </c>
      <c r="C199" t="s">
        <v>9</v>
      </c>
      <c r="D199">
        <v>9</v>
      </c>
      <c r="E199">
        <v>30000</v>
      </c>
      <c r="F199">
        <v>16.018905277391401</v>
      </c>
      <c r="G199">
        <v>-49.918305757844699</v>
      </c>
      <c r="H199">
        <v>2000</v>
      </c>
      <c r="I199">
        <v>150</v>
      </c>
      <c r="J199">
        <v>100</v>
      </c>
      <c r="K199" t="str">
        <f t="shared" si="9"/>
        <v>New York → Sydney</v>
      </c>
      <c r="L199" s="5">
        <f t="shared" si="10"/>
        <v>16.666666666666668</v>
      </c>
      <c r="M199" s="7">
        <f t="shared" si="11"/>
        <v>15000</v>
      </c>
      <c r="N199" s="7"/>
      <c r="O199" s="7"/>
    </row>
    <row r="200" spans="1:15" x14ac:dyDescent="0.25">
      <c r="A200" t="s">
        <v>208</v>
      </c>
      <c r="B200" t="s">
        <v>4</v>
      </c>
      <c r="C200" t="s">
        <v>2</v>
      </c>
      <c r="D200">
        <v>9</v>
      </c>
      <c r="E200">
        <v>30000</v>
      </c>
      <c r="F200">
        <v>75.355498250139405</v>
      </c>
      <c r="G200">
        <v>-34.701044936171201</v>
      </c>
      <c r="H200">
        <v>2729</v>
      </c>
      <c r="I200">
        <v>397</v>
      </c>
      <c r="J200">
        <v>126</v>
      </c>
      <c r="K200" t="str">
        <f t="shared" si="9"/>
        <v>Miami → Tokyo</v>
      </c>
      <c r="L200" s="5">
        <f t="shared" si="10"/>
        <v>44.111111111111114</v>
      </c>
      <c r="M200" s="7">
        <f t="shared" si="11"/>
        <v>50022</v>
      </c>
      <c r="N200" s="7"/>
      <c r="O200" s="7"/>
    </row>
    <row r="201" spans="1:15" x14ac:dyDescent="0.25">
      <c r="A201" t="s">
        <v>209</v>
      </c>
      <c r="B201" t="s">
        <v>1</v>
      </c>
      <c r="C201" t="s">
        <v>13</v>
      </c>
      <c r="D201">
        <v>9</v>
      </c>
      <c r="E201">
        <v>30000</v>
      </c>
      <c r="F201">
        <v>-119.764330559618</v>
      </c>
      <c r="G201">
        <v>8.3625375110623903</v>
      </c>
      <c r="H201">
        <v>2647</v>
      </c>
      <c r="I201">
        <v>354</v>
      </c>
      <c r="J201">
        <v>113</v>
      </c>
      <c r="K201" t="str">
        <f t="shared" si="9"/>
        <v>Houston → Paris</v>
      </c>
      <c r="L201" s="5">
        <f t="shared" si="10"/>
        <v>39.333333333333336</v>
      </c>
      <c r="M201" s="7">
        <f t="shared" si="11"/>
        <v>40002</v>
      </c>
      <c r="N201" s="7"/>
      <c r="O201" s="7"/>
    </row>
    <row r="202" spans="1:15" x14ac:dyDescent="0.25">
      <c r="A202" t="s">
        <v>210</v>
      </c>
      <c r="B202" t="s">
        <v>11</v>
      </c>
      <c r="C202" t="s">
        <v>13</v>
      </c>
      <c r="D202">
        <v>15</v>
      </c>
      <c r="E202">
        <v>35000</v>
      </c>
      <c r="F202">
        <v>101.02741827320099</v>
      </c>
      <c r="G202">
        <v>-14.9051846583762</v>
      </c>
      <c r="H202">
        <v>3500</v>
      </c>
      <c r="I202">
        <v>600</v>
      </c>
      <c r="J202">
        <v>150</v>
      </c>
      <c r="K202" t="str">
        <f t="shared" si="9"/>
        <v>Los Angeles → Paris</v>
      </c>
      <c r="L202" s="5">
        <f t="shared" si="10"/>
        <v>40</v>
      </c>
      <c r="M202" s="7">
        <f t="shared" si="11"/>
        <v>90000</v>
      </c>
      <c r="N202" s="7"/>
      <c r="O202" s="7"/>
    </row>
    <row r="203" spans="1:15" x14ac:dyDescent="0.25">
      <c r="A203" t="s">
        <v>211</v>
      </c>
      <c r="B203" t="s">
        <v>6</v>
      </c>
      <c r="C203" t="s">
        <v>2</v>
      </c>
      <c r="D203">
        <v>12</v>
      </c>
      <c r="E203">
        <v>30000</v>
      </c>
      <c r="F203">
        <v>30.1582009850802</v>
      </c>
      <c r="G203">
        <v>-61.159391824228898</v>
      </c>
      <c r="H203">
        <v>2000</v>
      </c>
      <c r="I203">
        <v>600</v>
      </c>
      <c r="J203">
        <v>100</v>
      </c>
      <c r="K203" t="str">
        <f t="shared" si="9"/>
        <v>Chicago → Tokyo</v>
      </c>
      <c r="L203" s="5">
        <f t="shared" si="10"/>
        <v>50</v>
      </c>
      <c r="M203" s="7">
        <f t="shared" si="11"/>
        <v>60000</v>
      </c>
      <c r="N203" s="7"/>
      <c r="O203" s="7"/>
    </row>
    <row r="204" spans="1:15" x14ac:dyDescent="0.25">
      <c r="A204" t="s">
        <v>212</v>
      </c>
      <c r="B204" t="s">
        <v>28</v>
      </c>
      <c r="C204" t="s">
        <v>20</v>
      </c>
      <c r="D204">
        <v>11</v>
      </c>
      <c r="E204">
        <v>32000</v>
      </c>
      <c r="F204">
        <v>162.799842851134</v>
      </c>
      <c r="G204">
        <v>-59.231447564247297</v>
      </c>
      <c r="H204">
        <v>3500</v>
      </c>
      <c r="I204">
        <v>450</v>
      </c>
      <c r="J204">
        <v>200</v>
      </c>
      <c r="K204" t="str">
        <f t="shared" si="9"/>
        <v>New York → Dubai</v>
      </c>
      <c r="L204" s="5">
        <f t="shared" si="10"/>
        <v>40.909090909090907</v>
      </c>
      <c r="M204" s="7">
        <f t="shared" si="11"/>
        <v>90000</v>
      </c>
      <c r="N204" s="7"/>
      <c r="O204" s="7"/>
    </row>
    <row r="205" spans="1:15" x14ac:dyDescent="0.25">
      <c r="A205" t="s">
        <v>213</v>
      </c>
      <c r="B205" t="s">
        <v>28</v>
      </c>
      <c r="C205" t="s">
        <v>15</v>
      </c>
      <c r="D205">
        <v>15</v>
      </c>
      <c r="E205">
        <v>30000</v>
      </c>
      <c r="F205">
        <v>-164.727972645519</v>
      </c>
      <c r="G205">
        <v>-14.733938130696099</v>
      </c>
      <c r="H205">
        <v>2000</v>
      </c>
      <c r="I205">
        <v>150</v>
      </c>
      <c r="J205">
        <v>150</v>
      </c>
      <c r="K205" t="str">
        <f t="shared" si="9"/>
        <v>New York → London</v>
      </c>
      <c r="L205" s="5">
        <f t="shared" si="10"/>
        <v>10</v>
      </c>
      <c r="M205" s="7">
        <f t="shared" si="11"/>
        <v>22500</v>
      </c>
      <c r="N205" s="7"/>
      <c r="O205" s="7"/>
    </row>
    <row r="206" spans="1:15" x14ac:dyDescent="0.25">
      <c r="A206" t="s">
        <v>214</v>
      </c>
      <c r="B206" t="s">
        <v>1</v>
      </c>
      <c r="C206" t="s">
        <v>20</v>
      </c>
      <c r="D206">
        <v>8</v>
      </c>
      <c r="E206">
        <v>30000</v>
      </c>
      <c r="F206">
        <v>-84.482590480031902</v>
      </c>
      <c r="G206">
        <v>46.310936089590101</v>
      </c>
      <c r="H206">
        <v>2500</v>
      </c>
      <c r="I206">
        <v>402</v>
      </c>
      <c r="J206">
        <v>111</v>
      </c>
      <c r="K206" t="str">
        <f t="shared" si="9"/>
        <v>Houston → Dubai</v>
      </c>
      <c r="L206" s="5">
        <f t="shared" si="10"/>
        <v>50.25</v>
      </c>
      <c r="M206" s="7">
        <f t="shared" si="11"/>
        <v>44622</v>
      </c>
      <c r="N206" s="7"/>
      <c r="O206" s="7"/>
    </row>
    <row r="207" spans="1:15" x14ac:dyDescent="0.25">
      <c r="A207" t="s">
        <v>215</v>
      </c>
      <c r="B207" t="s">
        <v>6</v>
      </c>
      <c r="C207" t="s">
        <v>9</v>
      </c>
      <c r="D207">
        <v>9</v>
      </c>
      <c r="E207">
        <v>35000</v>
      </c>
      <c r="F207">
        <v>36.5593965479367</v>
      </c>
      <c r="G207">
        <v>71.633636432601904</v>
      </c>
      <c r="H207">
        <v>2678</v>
      </c>
      <c r="I207">
        <v>150</v>
      </c>
      <c r="J207">
        <v>50</v>
      </c>
      <c r="K207" t="str">
        <f t="shared" si="9"/>
        <v>Chicago → Sydney</v>
      </c>
      <c r="L207" s="5">
        <f t="shared" si="10"/>
        <v>16.666666666666668</v>
      </c>
      <c r="M207" s="7">
        <f t="shared" si="11"/>
        <v>7500</v>
      </c>
      <c r="N207" s="7"/>
      <c r="O207" s="7"/>
    </row>
    <row r="208" spans="1:15" x14ac:dyDescent="0.25">
      <c r="A208" t="s">
        <v>216</v>
      </c>
      <c r="B208" t="s">
        <v>4</v>
      </c>
      <c r="C208" t="s">
        <v>2</v>
      </c>
      <c r="D208">
        <v>7</v>
      </c>
      <c r="E208">
        <v>30000</v>
      </c>
      <c r="F208">
        <v>-73.238431605864903</v>
      </c>
      <c r="G208">
        <v>-74.857020793311094</v>
      </c>
      <c r="H208">
        <v>2500</v>
      </c>
      <c r="I208">
        <v>300</v>
      </c>
      <c r="J208">
        <v>200</v>
      </c>
      <c r="K208" t="str">
        <f t="shared" si="9"/>
        <v>Miami → Tokyo</v>
      </c>
      <c r="L208" s="5">
        <f t="shared" si="10"/>
        <v>42.857142857142854</v>
      </c>
      <c r="M208" s="7">
        <f t="shared" si="11"/>
        <v>60000</v>
      </c>
      <c r="N208" s="7"/>
      <c r="O208" s="7"/>
    </row>
    <row r="209" spans="1:15" x14ac:dyDescent="0.25">
      <c r="A209" t="s">
        <v>217</v>
      </c>
      <c r="B209" t="s">
        <v>6</v>
      </c>
      <c r="C209" t="s">
        <v>20</v>
      </c>
      <c r="D209">
        <v>12</v>
      </c>
      <c r="E209">
        <v>30000</v>
      </c>
      <c r="F209">
        <v>77.192699065647204</v>
      </c>
      <c r="G209">
        <v>-19.241296639307802</v>
      </c>
      <c r="H209">
        <v>2500</v>
      </c>
      <c r="I209">
        <v>450</v>
      </c>
      <c r="J209">
        <v>114</v>
      </c>
      <c r="K209" t="str">
        <f t="shared" si="9"/>
        <v>Chicago → Dubai</v>
      </c>
      <c r="L209" s="5">
        <f t="shared" si="10"/>
        <v>37.5</v>
      </c>
      <c r="M209" s="7">
        <f t="shared" si="11"/>
        <v>51300</v>
      </c>
      <c r="N209" s="7"/>
      <c r="O209" s="7"/>
    </row>
    <row r="210" spans="1:15" x14ac:dyDescent="0.25">
      <c r="A210" t="s">
        <v>218</v>
      </c>
      <c r="B210" t="s">
        <v>1</v>
      </c>
      <c r="C210" t="s">
        <v>13</v>
      </c>
      <c r="D210">
        <v>9</v>
      </c>
      <c r="E210">
        <v>30000</v>
      </c>
      <c r="F210">
        <v>93.241901707895195</v>
      </c>
      <c r="G210">
        <v>-71.955798529882202</v>
      </c>
      <c r="H210">
        <v>2647</v>
      </c>
      <c r="I210">
        <v>354</v>
      </c>
      <c r="J210">
        <v>113</v>
      </c>
      <c r="K210" t="str">
        <f t="shared" si="9"/>
        <v>Houston → Paris</v>
      </c>
      <c r="L210" s="5">
        <f t="shared" si="10"/>
        <v>39.333333333333336</v>
      </c>
      <c r="M210" s="7">
        <f t="shared" si="11"/>
        <v>40002</v>
      </c>
      <c r="N210" s="7"/>
      <c r="O210" s="7"/>
    </row>
    <row r="211" spans="1:15" x14ac:dyDescent="0.25">
      <c r="A211" t="s">
        <v>219</v>
      </c>
      <c r="B211" t="s">
        <v>1</v>
      </c>
      <c r="C211" t="s">
        <v>9</v>
      </c>
      <c r="D211">
        <v>9</v>
      </c>
      <c r="E211">
        <v>30000</v>
      </c>
      <c r="F211">
        <v>-143.09425293606901</v>
      </c>
      <c r="G211">
        <v>-87.013353486132402</v>
      </c>
      <c r="H211">
        <v>2500</v>
      </c>
      <c r="I211">
        <v>356</v>
      </c>
      <c r="J211">
        <v>127</v>
      </c>
      <c r="K211" t="str">
        <f t="shared" si="9"/>
        <v>Houston → Sydney</v>
      </c>
      <c r="L211" s="5">
        <f t="shared" si="10"/>
        <v>39.555555555555557</v>
      </c>
      <c r="M211" s="7">
        <f t="shared" si="11"/>
        <v>45212</v>
      </c>
      <c r="N211" s="7"/>
      <c r="O211" s="7"/>
    </row>
    <row r="212" spans="1:15" x14ac:dyDescent="0.25">
      <c r="A212" t="s">
        <v>220</v>
      </c>
      <c r="B212" t="s">
        <v>6</v>
      </c>
      <c r="C212" t="s">
        <v>9</v>
      </c>
      <c r="D212">
        <v>9</v>
      </c>
      <c r="E212">
        <v>30000</v>
      </c>
      <c r="F212">
        <v>4.9876071144363703</v>
      </c>
      <c r="G212">
        <v>29.109362875912201</v>
      </c>
      <c r="H212">
        <v>2678</v>
      </c>
      <c r="I212">
        <v>356</v>
      </c>
      <c r="J212">
        <v>137</v>
      </c>
      <c r="K212" t="str">
        <f t="shared" si="9"/>
        <v>Chicago → Sydney</v>
      </c>
      <c r="L212" s="5">
        <f t="shared" si="10"/>
        <v>39.555555555555557</v>
      </c>
      <c r="M212" s="7">
        <f t="shared" si="11"/>
        <v>48772</v>
      </c>
      <c r="N212" s="7"/>
      <c r="O212" s="7"/>
    </row>
    <row r="213" spans="1:15" x14ac:dyDescent="0.25">
      <c r="A213" t="s">
        <v>221</v>
      </c>
      <c r="B213" t="s">
        <v>1</v>
      </c>
      <c r="C213" t="s">
        <v>20</v>
      </c>
      <c r="D213">
        <v>8</v>
      </c>
      <c r="E213">
        <v>30000</v>
      </c>
      <c r="F213">
        <v>3.20060001278011</v>
      </c>
      <c r="G213">
        <v>18.440899553985801</v>
      </c>
      <c r="H213">
        <v>2500</v>
      </c>
      <c r="I213">
        <v>402</v>
      </c>
      <c r="J213">
        <v>111</v>
      </c>
      <c r="K213" t="str">
        <f t="shared" si="9"/>
        <v>Houston → Dubai</v>
      </c>
      <c r="L213" s="5">
        <f t="shared" si="10"/>
        <v>50.25</v>
      </c>
      <c r="M213" s="7">
        <f t="shared" si="11"/>
        <v>44622</v>
      </c>
      <c r="N213" s="7"/>
      <c r="O213" s="7"/>
    </row>
    <row r="214" spans="1:15" x14ac:dyDescent="0.25">
      <c r="A214" t="s">
        <v>222</v>
      </c>
      <c r="B214" t="s">
        <v>6</v>
      </c>
      <c r="C214" t="s">
        <v>20</v>
      </c>
      <c r="D214">
        <v>10</v>
      </c>
      <c r="E214">
        <v>30000</v>
      </c>
      <c r="F214">
        <v>-47.0589227224052</v>
      </c>
      <c r="G214">
        <v>-60.656559513320502</v>
      </c>
      <c r="H214">
        <v>2636</v>
      </c>
      <c r="I214">
        <v>402</v>
      </c>
      <c r="J214">
        <v>114</v>
      </c>
      <c r="K214" t="str">
        <f t="shared" si="9"/>
        <v>Chicago → Dubai</v>
      </c>
      <c r="L214" s="5">
        <f t="shared" si="10"/>
        <v>40.200000000000003</v>
      </c>
      <c r="M214" s="7">
        <f t="shared" si="11"/>
        <v>45828</v>
      </c>
      <c r="N214" s="7"/>
      <c r="O214" s="7"/>
    </row>
    <row r="215" spans="1:15" x14ac:dyDescent="0.25">
      <c r="A215" t="s">
        <v>223</v>
      </c>
      <c r="B215" t="s">
        <v>11</v>
      </c>
      <c r="C215" t="s">
        <v>2</v>
      </c>
      <c r="D215">
        <v>10</v>
      </c>
      <c r="E215">
        <v>30000</v>
      </c>
      <c r="F215">
        <v>155.85295052508201</v>
      </c>
      <c r="G215">
        <v>-47.913690043248501</v>
      </c>
      <c r="H215">
        <v>2586</v>
      </c>
      <c r="I215">
        <v>397</v>
      </c>
      <c r="J215">
        <v>119</v>
      </c>
      <c r="K215" t="str">
        <f t="shared" si="9"/>
        <v>Los Angeles → Tokyo</v>
      </c>
      <c r="L215" s="5">
        <f t="shared" si="10"/>
        <v>39.700000000000003</v>
      </c>
      <c r="M215" s="7">
        <f t="shared" si="11"/>
        <v>47243</v>
      </c>
      <c r="N215" s="7"/>
      <c r="O215" s="7"/>
    </row>
    <row r="216" spans="1:15" x14ac:dyDescent="0.25">
      <c r="A216" t="s">
        <v>224</v>
      </c>
      <c r="B216" t="s">
        <v>6</v>
      </c>
      <c r="C216" t="s">
        <v>15</v>
      </c>
      <c r="D216">
        <v>5</v>
      </c>
      <c r="E216">
        <v>35000</v>
      </c>
      <c r="F216">
        <v>117.90227515436</v>
      </c>
      <c r="G216">
        <v>-85.732604343986694</v>
      </c>
      <c r="H216">
        <v>2678</v>
      </c>
      <c r="I216">
        <v>450</v>
      </c>
      <c r="J216">
        <v>200</v>
      </c>
      <c r="K216" t="str">
        <f t="shared" si="9"/>
        <v>Chicago → London</v>
      </c>
      <c r="L216" s="5">
        <f t="shared" si="10"/>
        <v>90</v>
      </c>
      <c r="M216" s="7">
        <f t="shared" si="11"/>
        <v>90000</v>
      </c>
      <c r="N216" s="7"/>
      <c r="O216" s="7"/>
    </row>
    <row r="217" spans="1:15" x14ac:dyDescent="0.25">
      <c r="A217" t="s">
        <v>225</v>
      </c>
      <c r="B217" t="s">
        <v>6</v>
      </c>
      <c r="C217" t="s">
        <v>20</v>
      </c>
      <c r="D217">
        <v>10</v>
      </c>
      <c r="E217">
        <v>30000</v>
      </c>
      <c r="F217">
        <v>70.995377487469199</v>
      </c>
      <c r="G217">
        <v>60.290497024992703</v>
      </c>
      <c r="H217">
        <v>2636</v>
      </c>
      <c r="I217">
        <v>402</v>
      </c>
      <c r="J217">
        <v>114</v>
      </c>
      <c r="K217" t="str">
        <f t="shared" si="9"/>
        <v>Chicago → Dubai</v>
      </c>
      <c r="L217" s="5">
        <f t="shared" si="10"/>
        <v>40.200000000000003</v>
      </c>
      <c r="M217" s="7">
        <f t="shared" si="11"/>
        <v>45828</v>
      </c>
      <c r="N217" s="7"/>
      <c r="O217" s="7"/>
    </row>
    <row r="218" spans="1:15" x14ac:dyDescent="0.25">
      <c r="A218" t="s">
        <v>226</v>
      </c>
      <c r="B218" t="s">
        <v>1</v>
      </c>
      <c r="C218" t="s">
        <v>20</v>
      </c>
      <c r="D218">
        <v>8</v>
      </c>
      <c r="E218">
        <v>35000</v>
      </c>
      <c r="F218">
        <v>77.157588864599106</v>
      </c>
      <c r="G218">
        <v>85.444307288739296</v>
      </c>
      <c r="H218">
        <v>2500</v>
      </c>
      <c r="I218">
        <v>300</v>
      </c>
      <c r="J218">
        <v>100</v>
      </c>
      <c r="K218" t="str">
        <f t="shared" si="9"/>
        <v>Houston → Dubai</v>
      </c>
      <c r="L218" s="5">
        <f t="shared" si="10"/>
        <v>37.5</v>
      </c>
      <c r="M218" s="7">
        <f t="shared" si="11"/>
        <v>30000</v>
      </c>
      <c r="N218" s="7"/>
      <c r="O218" s="7"/>
    </row>
    <row r="219" spans="1:15" x14ac:dyDescent="0.25">
      <c r="A219" t="s">
        <v>227</v>
      </c>
      <c r="B219" t="s">
        <v>1</v>
      </c>
      <c r="C219" t="s">
        <v>13</v>
      </c>
      <c r="D219">
        <v>9</v>
      </c>
      <c r="E219">
        <v>32000</v>
      </c>
      <c r="F219">
        <v>-13.7821882272771</v>
      </c>
      <c r="G219">
        <v>-65.617283376955697</v>
      </c>
      <c r="H219">
        <v>2500</v>
      </c>
      <c r="I219">
        <v>450</v>
      </c>
      <c r="J219">
        <v>50</v>
      </c>
      <c r="K219" t="str">
        <f t="shared" si="9"/>
        <v>Houston → Paris</v>
      </c>
      <c r="L219" s="5">
        <f t="shared" si="10"/>
        <v>50</v>
      </c>
      <c r="M219" s="7">
        <f t="shared" si="11"/>
        <v>22500</v>
      </c>
      <c r="N219" s="7"/>
      <c r="O219" s="7"/>
    </row>
    <row r="220" spans="1:15" x14ac:dyDescent="0.25">
      <c r="A220" t="s">
        <v>228</v>
      </c>
      <c r="B220" t="s">
        <v>28</v>
      </c>
      <c r="C220" t="s">
        <v>9</v>
      </c>
      <c r="D220">
        <v>9</v>
      </c>
      <c r="E220">
        <v>30000</v>
      </c>
      <c r="F220">
        <v>151.558027594767</v>
      </c>
      <c r="G220">
        <v>-48.334461522246301</v>
      </c>
      <c r="H220">
        <v>2800</v>
      </c>
      <c r="I220">
        <v>356</v>
      </c>
      <c r="J220">
        <v>120</v>
      </c>
      <c r="K220" t="str">
        <f t="shared" si="9"/>
        <v>New York → Sydney</v>
      </c>
      <c r="L220" s="5">
        <f t="shared" si="10"/>
        <v>39.555555555555557</v>
      </c>
      <c r="M220" s="7">
        <f t="shared" si="11"/>
        <v>42720</v>
      </c>
      <c r="N220" s="7"/>
      <c r="O220" s="7"/>
    </row>
    <row r="221" spans="1:15" x14ac:dyDescent="0.25">
      <c r="A221" t="s">
        <v>229</v>
      </c>
      <c r="B221" t="s">
        <v>28</v>
      </c>
      <c r="C221" t="s">
        <v>15</v>
      </c>
      <c r="D221">
        <v>15</v>
      </c>
      <c r="E221">
        <v>30000</v>
      </c>
      <c r="F221">
        <v>70.054353811182807</v>
      </c>
      <c r="G221">
        <v>66.313714310448105</v>
      </c>
      <c r="H221">
        <v>2760</v>
      </c>
      <c r="I221">
        <v>300</v>
      </c>
      <c r="J221">
        <v>50</v>
      </c>
      <c r="K221" t="str">
        <f t="shared" si="9"/>
        <v>New York → London</v>
      </c>
      <c r="L221" s="5">
        <f t="shared" si="10"/>
        <v>20</v>
      </c>
      <c r="M221" s="7">
        <f t="shared" si="11"/>
        <v>15000</v>
      </c>
      <c r="N221" s="7"/>
      <c r="O221" s="7"/>
    </row>
    <row r="222" spans="1:15" x14ac:dyDescent="0.25">
      <c r="A222" t="s">
        <v>230</v>
      </c>
      <c r="B222" t="s">
        <v>11</v>
      </c>
      <c r="C222" t="s">
        <v>13</v>
      </c>
      <c r="D222">
        <v>8</v>
      </c>
      <c r="E222">
        <v>30000</v>
      </c>
      <c r="F222">
        <v>82.433182196093895</v>
      </c>
      <c r="G222">
        <v>76.763483632113306</v>
      </c>
      <c r="H222">
        <v>2882</v>
      </c>
      <c r="I222">
        <v>354</v>
      </c>
      <c r="J222">
        <v>125</v>
      </c>
      <c r="K222" t="str">
        <f t="shared" si="9"/>
        <v>Los Angeles → Paris</v>
      </c>
      <c r="L222" s="5">
        <f t="shared" si="10"/>
        <v>44.25</v>
      </c>
      <c r="M222" s="7">
        <f t="shared" si="11"/>
        <v>44250</v>
      </c>
      <c r="N222" s="7"/>
      <c r="O222" s="7"/>
    </row>
    <row r="223" spans="1:15" x14ac:dyDescent="0.25">
      <c r="A223" t="s">
        <v>231</v>
      </c>
      <c r="B223" t="s">
        <v>28</v>
      </c>
      <c r="C223" t="s">
        <v>2</v>
      </c>
      <c r="D223">
        <v>9</v>
      </c>
      <c r="E223">
        <v>30000</v>
      </c>
      <c r="F223">
        <v>130.20872536344399</v>
      </c>
      <c r="G223">
        <v>-14.4670710947741</v>
      </c>
      <c r="H223">
        <v>2954</v>
      </c>
      <c r="I223">
        <v>397</v>
      </c>
      <c r="J223">
        <v>128</v>
      </c>
      <c r="K223" t="str">
        <f t="shared" si="9"/>
        <v>New York → Tokyo</v>
      </c>
      <c r="L223" s="5">
        <f t="shared" si="10"/>
        <v>44.111111111111114</v>
      </c>
      <c r="M223" s="7">
        <f t="shared" si="11"/>
        <v>50816</v>
      </c>
      <c r="N223" s="7"/>
      <c r="O223" s="7"/>
    </row>
    <row r="224" spans="1:15" x14ac:dyDescent="0.25">
      <c r="A224" t="s">
        <v>232</v>
      </c>
      <c r="B224" t="s">
        <v>6</v>
      </c>
      <c r="C224" t="s">
        <v>2</v>
      </c>
      <c r="D224">
        <v>5</v>
      </c>
      <c r="E224">
        <v>32000</v>
      </c>
      <c r="F224">
        <v>-81.334227836811195</v>
      </c>
      <c r="G224">
        <v>-80.887954991566701</v>
      </c>
      <c r="H224">
        <v>2000</v>
      </c>
      <c r="I224">
        <v>300</v>
      </c>
      <c r="J224">
        <v>50</v>
      </c>
      <c r="K224" t="str">
        <f t="shared" si="9"/>
        <v>Chicago → Tokyo</v>
      </c>
      <c r="L224" s="5">
        <f t="shared" si="10"/>
        <v>60</v>
      </c>
      <c r="M224" s="7">
        <f t="shared" si="11"/>
        <v>15000</v>
      </c>
      <c r="N224" s="7"/>
      <c r="O224" s="7"/>
    </row>
    <row r="225" spans="1:15" x14ac:dyDescent="0.25">
      <c r="A225" t="s">
        <v>233</v>
      </c>
      <c r="B225" t="s">
        <v>1</v>
      </c>
      <c r="C225" t="s">
        <v>20</v>
      </c>
      <c r="D225">
        <v>9</v>
      </c>
      <c r="E225">
        <v>35000</v>
      </c>
      <c r="F225">
        <v>110.545525392013</v>
      </c>
      <c r="G225">
        <v>-82.909469935292506</v>
      </c>
      <c r="H225">
        <v>2000</v>
      </c>
      <c r="I225">
        <v>450</v>
      </c>
      <c r="J225">
        <v>200</v>
      </c>
      <c r="K225" t="str">
        <f t="shared" si="9"/>
        <v>Houston → Dubai</v>
      </c>
      <c r="L225" s="5">
        <f t="shared" si="10"/>
        <v>50</v>
      </c>
      <c r="M225" s="7">
        <f t="shared" si="11"/>
        <v>90000</v>
      </c>
      <c r="N225" s="7"/>
      <c r="O225" s="7"/>
    </row>
    <row r="226" spans="1:15" x14ac:dyDescent="0.25">
      <c r="A226" t="s">
        <v>234</v>
      </c>
      <c r="B226" t="s">
        <v>28</v>
      </c>
      <c r="C226" t="s">
        <v>20</v>
      </c>
      <c r="D226">
        <v>15</v>
      </c>
      <c r="E226">
        <v>35000</v>
      </c>
      <c r="F226">
        <v>-109.71338293566301</v>
      </c>
      <c r="G226">
        <v>13.310975892421901</v>
      </c>
      <c r="H226">
        <v>2000</v>
      </c>
      <c r="I226">
        <v>450</v>
      </c>
      <c r="J226">
        <v>150</v>
      </c>
      <c r="K226" t="str">
        <f t="shared" si="9"/>
        <v>New York → Dubai</v>
      </c>
      <c r="L226" s="5">
        <f t="shared" si="10"/>
        <v>30</v>
      </c>
      <c r="M226" s="7">
        <f t="shared" si="11"/>
        <v>67500</v>
      </c>
      <c r="N226" s="7"/>
      <c r="O226" s="7"/>
    </row>
    <row r="227" spans="1:15" x14ac:dyDescent="0.25">
      <c r="A227" t="s">
        <v>235</v>
      </c>
      <c r="B227" t="s">
        <v>28</v>
      </c>
      <c r="C227" t="s">
        <v>2</v>
      </c>
      <c r="D227">
        <v>5</v>
      </c>
      <c r="E227">
        <v>30000</v>
      </c>
      <c r="F227">
        <v>-55.676897191840403</v>
      </c>
      <c r="G227">
        <v>-19.278880399227798</v>
      </c>
      <c r="H227">
        <v>2954</v>
      </c>
      <c r="I227">
        <v>600</v>
      </c>
      <c r="J227">
        <v>200</v>
      </c>
      <c r="K227" t="str">
        <f t="shared" si="9"/>
        <v>New York → Tokyo</v>
      </c>
      <c r="L227" s="5">
        <f t="shared" si="10"/>
        <v>120</v>
      </c>
      <c r="M227" s="7">
        <f t="shared" si="11"/>
        <v>120000</v>
      </c>
      <c r="N227" s="7"/>
      <c r="O227" s="7"/>
    </row>
    <row r="228" spans="1:15" x14ac:dyDescent="0.25">
      <c r="A228" t="s">
        <v>236</v>
      </c>
      <c r="B228" t="s">
        <v>11</v>
      </c>
      <c r="C228" t="s">
        <v>20</v>
      </c>
      <c r="D228">
        <v>12</v>
      </c>
      <c r="E228">
        <v>32000</v>
      </c>
      <c r="F228">
        <v>-59.180236462856598</v>
      </c>
      <c r="G228">
        <v>-84.842563036022199</v>
      </c>
      <c r="H228">
        <v>3500</v>
      </c>
      <c r="I228">
        <v>150</v>
      </c>
      <c r="J228">
        <v>200</v>
      </c>
      <c r="K228" t="str">
        <f t="shared" si="9"/>
        <v>Los Angeles → Dubai</v>
      </c>
      <c r="L228" s="5">
        <f t="shared" si="10"/>
        <v>12.5</v>
      </c>
      <c r="M228" s="7">
        <f t="shared" si="11"/>
        <v>30000</v>
      </c>
      <c r="N228" s="7"/>
      <c r="O228" s="7"/>
    </row>
    <row r="229" spans="1:15" x14ac:dyDescent="0.25">
      <c r="A229" t="s">
        <v>237</v>
      </c>
      <c r="B229" t="s">
        <v>11</v>
      </c>
      <c r="C229" t="s">
        <v>15</v>
      </c>
      <c r="D229">
        <v>8</v>
      </c>
      <c r="E229">
        <v>30000</v>
      </c>
      <c r="F229">
        <v>172.26916862009099</v>
      </c>
      <c r="G229">
        <v>14.985430616260199</v>
      </c>
      <c r="H229">
        <v>2760</v>
      </c>
      <c r="I229">
        <v>374</v>
      </c>
      <c r="J229">
        <v>131</v>
      </c>
      <c r="K229" t="str">
        <f t="shared" si="9"/>
        <v>Los Angeles → London</v>
      </c>
      <c r="L229" s="5">
        <f t="shared" si="10"/>
        <v>46.75</v>
      </c>
      <c r="M229" s="7">
        <f t="shared" si="11"/>
        <v>48994</v>
      </c>
      <c r="N229" s="7"/>
      <c r="O229" s="7"/>
    </row>
    <row r="230" spans="1:15" x14ac:dyDescent="0.25">
      <c r="A230" t="s">
        <v>238</v>
      </c>
      <c r="B230" t="s">
        <v>6</v>
      </c>
      <c r="C230" t="s">
        <v>20</v>
      </c>
      <c r="D230">
        <v>10</v>
      </c>
      <c r="E230">
        <v>30000</v>
      </c>
      <c r="F230">
        <v>128.35340054925399</v>
      </c>
      <c r="G230">
        <v>-87.965543413975993</v>
      </c>
      <c r="H230">
        <v>2636</v>
      </c>
      <c r="I230">
        <v>402</v>
      </c>
      <c r="J230">
        <v>114</v>
      </c>
      <c r="K230" t="str">
        <f t="shared" si="9"/>
        <v>Chicago → Dubai</v>
      </c>
      <c r="L230" s="5">
        <f t="shared" si="10"/>
        <v>40.200000000000003</v>
      </c>
      <c r="M230" s="7">
        <f t="shared" si="11"/>
        <v>45828</v>
      </c>
      <c r="N230" s="7"/>
      <c r="O230" s="7"/>
    </row>
    <row r="231" spans="1:15" x14ac:dyDescent="0.25">
      <c r="A231" t="s">
        <v>239</v>
      </c>
      <c r="B231" t="s">
        <v>1</v>
      </c>
      <c r="C231" t="s">
        <v>9</v>
      </c>
      <c r="D231">
        <v>9</v>
      </c>
      <c r="E231">
        <v>35000</v>
      </c>
      <c r="F231">
        <v>72.421150172493498</v>
      </c>
      <c r="G231">
        <v>51.726952466869101</v>
      </c>
      <c r="H231">
        <v>3500</v>
      </c>
      <c r="I231">
        <v>356</v>
      </c>
      <c r="J231">
        <v>127</v>
      </c>
      <c r="K231" t="str">
        <f t="shared" si="9"/>
        <v>Houston → Sydney</v>
      </c>
      <c r="L231" s="5">
        <f t="shared" si="10"/>
        <v>39.555555555555557</v>
      </c>
      <c r="M231" s="7">
        <f t="shared" si="11"/>
        <v>45212</v>
      </c>
      <c r="N231" s="7"/>
      <c r="O231" s="7"/>
    </row>
    <row r="232" spans="1:15" x14ac:dyDescent="0.25">
      <c r="A232" t="s">
        <v>240</v>
      </c>
      <c r="B232" t="s">
        <v>11</v>
      </c>
      <c r="C232" t="s">
        <v>20</v>
      </c>
      <c r="D232">
        <v>12</v>
      </c>
      <c r="E232">
        <v>32000</v>
      </c>
      <c r="F232">
        <v>81.740434181540394</v>
      </c>
      <c r="G232">
        <v>-34.842091913393098</v>
      </c>
      <c r="H232">
        <v>3000</v>
      </c>
      <c r="I232">
        <v>300</v>
      </c>
      <c r="J232">
        <v>150</v>
      </c>
      <c r="K232" t="str">
        <f t="shared" si="9"/>
        <v>Los Angeles → Dubai</v>
      </c>
      <c r="L232" s="5">
        <f t="shared" si="10"/>
        <v>25</v>
      </c>
      <c r="M232" s="7">
        <f t="shared" si="11"/>
        <v>45000</v>
      </c>
      <c r="N232" s="7"/>
      <c r="O232" s="7"/>
    </row>
    <row r="233" spans="1:15" x14ac:dyDescent="0.25">
      <c r="A233" t="s">
        <v>241</v>
      </c>
      <c r="B233" t="s">
        <v>28</v>
      </c>
      <c r="C233" t="s">
        <v>13</v>
      </c>
      <c r="D233">
        <v>9</v>
      </c>
      <c r="E233">
        <v>30000</v>
      </c>
      <c r="F233">
        <v>22.3462059849256</v>
      </c>
      <c r="G233">
        <v>-82.753559458338202</v>
      </c>
      <c r="H233">
        <v>2847</v>
      </c>
      <c r="I233">
        <v>354</v>
      </c>
      <c r="J233">
        <v>122</v>
      </c>
      <c r="K233" t="str">
        <f t="shared" si="9"/>
        <v>New York → Paris</v>
      </c>
      <c r="L233" s="5">
        <f t="shared" si="10"/>
        <v>39.333333333333336</v>
      </c>
      <c r="M233" s="7">
        <f t="shared" si="11"/>
        <v>43188</v>
      </c>
      <c r="N233" s="7"/>
      <c r="O233" s="7"/>
    </row>
    <row r="234" spans="1:15" x14ac:dyDescent="0.25">
      <c r="A234" t="s">
        <v>242</v>
      </c>
      <c r="B234" t="s">
        <v>1</v>
      </c>
      <c r="C234" t="s">
        <v>15</v>
      </c>
      <c r="D234">
        <v>12</v>
      </c>
      <c r="E234">
        <v>30000</v>
      </c>
      <c r="F234">
        <v>160.95264015906699</v>
      </c>
      <c r="G234">
        <v>15.9033997769676</v>
      </c>
      <c r="H234">
        <v>2000</v>
      </c>
      <c r="I234">
        <v>600</v>
      </c>
      <c r="J234">
        <v>138</v>
      </c>
      <c r="K234" t="str">
        <f t="shared" si="9"/>
        <v>Houston → London</v>
      </c>
      <c r="L234" s="5">
        <f t="shared" si="10"/>
        <v>50</v>
      </c>
      <c r="M234" s="7">
        <f t="shared" si="11"/>
        <v>82800</v>
      </c>
      <c r="N234" s="7"/>
      <c r="O234" s="7"/>
    </row>
    <row r="235" spans="1:15" x14ac:dyDescent="0.25">
      <c r="A235" t="s">
        <v>243</v>
      </c>
      <c r="B235" t="s">
        <v>1</v>
      </c>
      <c r="C235" t="s">
        <v>13</v>
      </c>
      <c r="D235">
        <v>12</v>
      </c>
      <c r="E235">
        <v>35000</v>
      </c>
      <c r="F235">
        <v>-1.3468489623498401</v>
      </c>
      <c r="G235">
        <v>-18.416805402050201</v>
      </c>
      <c r="H235">
        <v>2647</v>
      </c>
      <c r="I235">
        <v>600</v>
      </c>
      <c r="J235">
        <v>50</v>
      </c>
      <c r="K235" t="str">
        <f t="shared" si="9"/>
        <v>Houston → Paris</v>
      </c>
      <c r="L235" s="5">
        <f t="shared" si="10"/>
        <v>50</v>
      </c>
      <c r="M235" s="7">
        <f t="shared" si="11"/>
        <v>30000</v>
      </c>
      <c r="N235" s="7"/>
      <c r="O235" s="7"/>
    </row>
    <row r="236" spans="1:15" x14ac:dyDescent="0.25">
      <c r="A236" t="s">
        <v>244</v>
      </c>
      <c r="B236" t="s">
        <v>28</v>
      </c>
      <c r="C236" t="s">
        <v>13</v>
      </c>
      <c r="D236">
        <v>9</v>
      </c>
      <c r="E236">
        <v>30000</v>
      </c>
      <c r="F236">
        <v>-43.013624446838001</v>
      </c>
      <c r="G236">
        <v>85.284074404286898</v>
      </c>
      <c r="H236">
        <v>2847</v>
      </c>
      <c r="I236">
        <v>354</v>
      </c>
      <c r="J236">
        <v>122</v>
      </c>
      <c r="K236" t="str">
        <f t="shared" si="9"/>
        <v>New York → Paris</v>
      </c>
      <c r="L236" s="5">
        <f t="shared" si="10"/>
        <v>39.333333333333336</v>
      </c>
      <c r="M236" s="7">
        <f t="shared" si="11"/>
        <v>43188</v>
      </c>
      <c r="N236" s="7"/>
      <c r="O236" s="7"/>
    </row>
    <row r="237" spans="1:15" x14ac:dyDescent="0.25">
      <c r="A237" t="s">
        <v>245</v>
      </c>
      <c r="B237" t="s">
        <v>11</v>
      </c>
      <c r="C237" t="s">
        <v>9</v>
      </c>
      <c r="D237">
        <v>8</v>
      </c>
      <c r="E237">
        <v>30000</v>
      </c>
      <c r="F237">
        <v>-121.307278704627</v>
      </c>
      <c r="G237">
        <v>7.9557592506663903</v>
      </c>
      <c r="H237">
        <v>3000</v>
      </c>
      <c r="I237">
        <v>356</v>
      </c>
      <c r="J237">
        <v>145</v>
      </c>
      <c r="K237" t="str">
        <f t="shared" si="9"/>
        <v>Los Angeles → Sydney</v>
      </c>
      <c r="L237" s="5">
        <f t="shared" si="10"/>
        <v>44.5</v>
      </c>
      <c r="M237" s="7">
        <f t="shared" si="11"/>
        <v>51620</v>
      </c>
      <c r="N237" s="7"/>
      <c r="O237" s="7"/>
    </row>
    <row r="238" spans="1:15" x14ac:dyDescent="0.25">
      <c r="A238" t="s">
        <v>246</v>
      </c>
      <c r="B238" t="s">
        <v>28</v>
      </c>
      <c r="C238" t="s">
        <v>15</v>
      </c>
      <c r="D238">
        <v>12</v>
      </c>
      <c r="E238">
        <v>30000</v>
      </c>
      <c r="F238">
        <v>103.03403481398099</v>
      </c>
      <c r="G238">
        <v>-40.456947413338497</v>
      </c>
      <c r="H238">
        <v>2760</v>
      </c>
      <c r="I238">
        <v>600</v>
      </c>
      <c r="J238">
        <v>150</v>
      </c>
      <c r="K238" t="str">
        <f t="shared" si="9"/>
        <v>New York → London</v>
      </c>
      <c r="L238" s="5">
        <f t="shared" si="10"/>
        <v>50</v>
      </c>
      <c r="M238" s="7">
        <f t="shared" si="11"/>
        <v>90000</v>
      </c>
      <c r="N238" s="7"/>
      <c r="O238" s="7"/>
    </row>
    <row r="239" spans="1:15" x14ac:dyDescent="0.25">
      <c r="A239" t="s">
        <v>247</v>
      </c>
      <c r="B239" t="s">
        <v>1</v>
      </c>
      <c r="C239" t="s">
        <v>15</v>
      </c>
      <c r="D239">
        <v>8</v>
      </c>
      <c r="E239">
        <v>30000</v>
      </c>
      <c r="F239">
        <v>84.399815547212896</v>
      </c>
      <c r="G239">
        <v>37.698995634115498</v>
      </c>
      <c r="H239">
        <v>2846</v>
      </c>
      <c r="I239">
        <v>374</v>
      </c>
      <c r="J239">
        <v>138</v>
      </c>
      <c r="K239" t="str">
        <f t="shared" si="9"/>
        <v>Houston → London</v>
      </c>
      <c r="L239" s="5">
        <f t="shared" si="10"/>
        <v>46.75</v>
      </c>
      <c r="M239" s="7">
        <f t="shared" si="11"/>
        <v>51612</v>
      </c>
      <c r="N239" s="7"/>
      <c r="O239" s="7"/>
    </row>
    <row r="240" spans="1:15" x14ac:dyDescent="0.25">
      <c r="A240" t="s">
        <v>248</v>
      </c>
      <c r="B240" t="s">
        <v>4</v>
      </c>
      <c r="C240" t="s">
        <v>15</v>
      </c>
      <c r="D240">
        <v>8</v>
      </c>
      <c r="E240">
        <v>30000</v>
      </c>
      <c r="F240">
        <v>-41.6321861313114</v>
      </c>
      <c r="G240">
        <v>-41.131439542312002</v>
      </c>
      <c r="H240">
        <v>2615</v>
      </c>
      <c r="I240">
        <v>374</v>
      </c>
      <c r="J240">
        <v>121</v>
      </c>
      <c r="K240" t="str">
        <f t="shared" si="9"/>
        <v>Miami → London</v>
      </c>
      <c r="L240" s="5">
        <f t="shared" si="10"/>
        <v>46.75</v>
      </c>
      <c r="M240" s="7">
        <f t="shared" si="11"/>
        <v>45254</v>
      </c>
      <c r="N240" s="7"/>
      <c r="O240" s="7"/>
    </row>
    <row r="241" spans="1:15" x14ac:dyDescent="0.25">
      <c r="A241" t="s">
        <v>249</v>
      </c>
      <c r="B241" t="s">
        <v>4</v>
      </c>
      <c r="C241" t="s">
        <v>15</v>
      </c>
      <c r="D241">
        <v>8</v>
      </c>
      <c r="E241">
        <v>30000</v>
      </c>
      <c r="F241">
        <v>-170.930370974677</v>
      </c>
      <c r="G241">
        <v>72.763792453361702</v>
      </c>
      <c r="H241">
        <v>2615</v>
      </c>
      <c r="I241">
        <v>374</v>
      </c>
      <c r="J241">
        <v>121</v>
      </c>
      <c r="K241" t="str">
        <f t="shared" si="9"/>
        <v>Miami → London</v>
      </c>
      <c r="L241" s="5">
        <f t="shared" si="10"/>
        <v>46.75</v>
      </c>
      <c r="M241" s="7">
        <f t="shared" si="11"/>
        <v>45254</v>
      </c>
      <c r="N241" s="7"/>
      <c r="O241" s="7"/>
    </row>
    <row r="242" spans="1:15" x14ac:dyDescent="0.25">
      <c r="A242" t="s">
        <v>250</v>
      </c>
      <c r="B242" t="s">
        <v>6</v>
      </c>
      <c r="C242" t="s">
        <v>15</v>
      </c>
      <c r="D242">
        <v>12</v>
      </c>
      <c r="E242">
        <v>32000</v>
      </c>
      <c r="F242">
        <v>122.039037978484</v>
      </c>
      <c r="G242">
        <v>-22.5500453086722</v>
      </c>
      <c r="H242">
        <v>2500</v>
      </c>
      <c r="I242">
        <v>600</v>
      </c>
      <c r="J242">
        <v>50</v>
      </c>
      <c r="K242" t="str">
        <f t="shared" si="9"/>
        <v>Chicago → London</v>
      </c>
      <c r="L242" s="5">
        <f t="shared" si="10"/>
        <v>50</v>
      </c>
      <c r="M242" s="7">
        <f t="shared" si="11"/>
        <v>30000</v>
      </c>
      <c r="N242" s="7"/>
      <c r="O242" s="7"/>
    </row>
    <row r="243" spans="1:15" x14ac:dyDescent="0.25">
      <c r="A243" t="s">
        <v>251</v>
      </c>
      <c r="B243" t="s">
        <v>28</v>
      </c>
      <c r="C243" t="s">
        <v>9</v>
      </c>
      <c r="D243">
        <v>12</v>
      </c>
      <c r="E243">
        <v>30000</v>
      </c>
      <c r="F243">
        <v>-175.88952595653399</v>
      </c>
      <c r="G243">
        <v>8.9763412997169407</v>
      </c>
      <c r="H243">
        <v>2000</v>
      </c>
      <c r="I243">
        <v>450</v>
      </c>
      <c r="J243">
        <v>150</v>
      </c>
      <c r="K243" t="str">
        <f t="shared" si="9"/>
        <v>New York → Sydney</v>
      </c>
      <c r="L243" s="5">
        <f t="shared" si="10"/>
        <v>37.5</v>
      </c>
      <c r="M243" s="7">
        <f t="shared" si="11"/>
        <v>67500</v>
      </c>
      <c r="N243" s="7"/>
      <c r="O243" s="7"/>
    </row>
    <row r="244" spans="1:15" x14ac:dyDescent="0.25">
      <c r="A244" t="s">
        <v>252</v>
      </c>
      <c r="B244" t="s">
        <v>28</v>
      </c>
      <c r="C244" t="s">
        <v>20</v>
      </c>
      <c r="D244">
        <v>11</v>
      </c>
      <c r="E244">
        <v>32000</v>
      </c>
      <c r="F244">
        <v>73.331920666458302</v>
      </c>
      <c r="G244">
        <v>-80.896841311638795</v>
      </c>
      <c r="H244">
        <v>2500</v>
      </c>
      <c r="I244">
        <v>600</v>
      </c>
      <c r="J244">
        <v>100</v>
      </c>
      <c r="K244" t="str">
        <f t="shared" si="9"/>
        <v>New York → Dubai</v>
      </c>
      <c r="L244" s="5">
        <f t="shared" si="10"/>
        <v>54.545454545454547</v>
      </c>
      <c r="M244" s="7">
        <f t="shared" si="11"/>
        <v>60000</v>
      </c>
      <c r="N244" s="7"/>
      <c r="O244" s="7"/>
    </row>
    <row r="245" spans="1:15" x14ac:dyDescent="0.25">
      <c r="A245" t="s">
        <v>253</v>
      </c>
      <c r="B245" t="s">
        <v>6</v>
      </c>
      <c r="C245" t="s">
        <v>13</v>
      </c>
      <c r="D245">
        <v>7</v>
      </c>
      <c r="E245">
        <v>35000</v>
      </c>
      <c r="F245">
        <v>169.29255950138099</v>
      </c>
      <c r="G245">
        <v>-13.2981771685985</v>
      </c>
      <c r="H245">
        <v>2500</v>
      </c>
      <c r="I245">
        <v>150</v>
      </c>
      <c r="J245">
        <v>200</v>
      </c>
      <c r="K245" t="str">
        <f t="shared" si="9"/>
        <v>Chicago → Paris</v>
      </c>
      <c r="L245" s="5">
        <f t="shared" si="10"/>
        <v>21.428571428571427</v>
      </c>
      <c r="M245" s="7">
        <f t="shared" si="11"/>
        <v>30000</v>
      </c>
      <c r="N245" s="7"/>
      <c r="O245" s="7"/>
    </row>
    <row r="246" spans="1:15" x14ac:dyDescent="0.25">
      <c r="A246" t="s">
        <v>254</v>
      </c>
      <c r="B246" t="s">
        <v>6</v>
      </c>
      <c r="C246" t="s">
        <v>15</v>
      </c>
      <c r="D246">
        <v>9</v>
      </c>
      <c r="E246">
        <v>30000</v>
      </c>
      <c r="F246">
        <v>-22.441921866646801</v>
      </c>
      <c r="G246">
        <v>59.825437138979098</v>
      </c>
      <c r="H246">
        <v>2678</v>
      </c>
      <c r="I246">
        <v>374</v>
      </c>
      <c r="J246">
        <v>116</v>
      </c>
      <c r="K246" t="str">
        <f t="shared" si="9"/>
        <v>Chicago → London</v>
      </c>
      <c r="L246" s="5">
        <f t="shared" si="10"/>
        <v>41.555555555555557</v>
      </c>
      <c r="M246" s="7">
        <f t="shared" si="11"/>
        <v>43384</v>
      </c>
      <c r="N246" s="7"/>
      <c r="O246" s="7"/>
    </row>
    <row r="247" spans="1:15" x14ac:dyDescent="0.25">
      <c r="A247" t="s">
        <v>255</v>
      </c>
      <c r="B247" t="s">
        <v>6</v>
      </c>
      <c r="C247" t="s">
        <v>20</v>
      </c>
      <c r="D247">
        <v>12</v>
      </c>
      <c r="E247">
        <v>32000</v>
      </c>
      <c r="F247">
        <v>-95.409574201457005</v>
      </c>
      <c r="G247">
        <v>55.016784965401499</v>
      </c>
      <c r="H247">
        <v>2000</v>
      </c>
      <c r="I247">
        <v>300</v>
      </c>
      <c r="J247">
        <v>114</v>
      </c>
      <c r="K247" t="str">
        <f t="shared" si="9"/>
        <v>Chicago → Dubai</v>
      </c>
      <c r="L247" s="5">
        <f t="shared" si="10"/>
        <v>25</v>
      </c>
      <c r="M247" s="7">
        <f t="shared" si="11"/>
        <v>34200</v>
      </c>
      <c r="N247" s="7"/>
      <c r="O247" s="7"/>
    </row>
    <row r="248" spans="1:15" x14ac:dyDescent="0.25">
      <c r="A248" t="s">
        <v>256</v>
      </c>
      <c r="B248" t="s">
        <v>1</v>
      </c>
      <c r="C248" t="s">
        <v>20</v>
      </c>
      <c r="D248">
        <v>8</v>
      </c>
      <c r="E248">
        <v>30000</v>
      </c>
      <c r="F248">
        <v>73.753563615617395</v>
      </c>
      <c r="G248">
        <v>-49.622659406365301</v>
      </c>
      <c r="H248">
        <v>2500</v>
      </c>
      <c r="I248">
        <v>450</v>
      </c>
      <c r="J248">
        <v>100</v>
      </c>
      <c r="K248" t="str">
        <f t="shared" si="9"/>
        <v>Houston → Dubai</v>
      </c>
      <c r="L248" s="5">
        <f t="shared" si="10"/>
        <v>56.25</v>
      </c>
      <c r="M248" s="7">
        <f t="shared" si="11"/>
        <v>45000</v>
      </c>
      <c r="N248" s="7"/>
      <c r="O248" s="7"/>
    </row>
    <row r="249" spans="1:15" x14ac:dyDescent="0.25">
      <c r="A249" t="s">
        <v>257</v>
      </c>
      <c r="B249" t="s">
        <v>28</v>
      </c>
      <c r="C249" t="s">
        <v>13</v>
      </c>
      <c r="D249">
        <v>9</v>
      </c>
      <c r="E249">
        <v>30000</v>
      </c>
      <c r="F249">
        <v>114.166131125611</v>
      </c>
      <c r="G249">
        <v>-49.305767218098701</v>
      </c>
      <c r="H249">
        <v>2847</v>
      </c>
      <c r="I249">
        <v>354</v>
      </c>
      <c r="J249">
        <v>122</v>
      </c>
      <c r="K249" t="str">
        <f t="shared" si="9"/>
        <v>New York → Paris</v>
      </c>
      <c r="L249" s="5">
        <f t="shared" si="10"/>
        <v>39.333333333333336</v>
      </c>
      <c r="M249" s="7">
        <f t="shared" si="11"/>
        <v>43188</v>
      </c>
      <c r="N249" s="7"/>
      <c r="O249" s="7"/>
    </row>
    <row r="250" spans="1:15" x14ac:dyDescent="0.25">
      <c r="A250" t="s">
        <v>258</v>
      </c>
      <c r="B250" t="s">
        <v>1</v>
      </c>
      <c r="C250" t="s">
        <v>9</v>
      </c>
      <c r="D250">
        <v>9</v>
      </c>
      <c r="E250">
        <v>30000</v>
      </c>
      <c r="F250">
        <v>16.714913788025001</v>
      </c>
      <c r="G250">
        <v>57.1149561983826</v>
      </c>
      <c r="H250">
        <v>3000</v>
      </c>
      <c r="I250">
        <v>356</v>
      </c>
      <c r="J250">
        <v>127</v>
      </c>
      <c r="K250" t="str">
        <f t="shared" si="9"/>
        <v>Houston → Sydney</v>
      </c>
      <c r="L250" s="5">
        <f t="shared" si="10"/>
        <v>39.555555555555557</v>
      </c>
      <c r="M250" s="7">
        <f t="shared" si="11"/>
        <v>45212</v>
      </c>
      <c r="N250" s="7"/>
      <c r="O250" s="7"/>
    </row>
    <row r="251" spans="1:15" x14ac:dyDescent="0.25">
      <c r="A251" t="s">
        <v>259</v>
      </c>
      <c r="B251" t="s">
        <v>6</v>
      </c>
      <c r="C251" t="s">
        <v>2</v>
      </c>
      <c r="D251">
        <v>8</v>
      </c>
      <c r="E251">
        <v>30000</v>
      </c>
      <c r="F251">
        <v>168.13269909221299</v>
      </c>
      <c r="G251">
        <v>77.471715630478599</v>
      </c>
      <c r="H251">
        <v>2583</v>
      </c>
      <c r="I251">
        <v>397</v>
      </c>
      <c r="J251">
        <v>133</v>
      </c>
      <c r="K251" t="str">
        <f t="shared" si="9"/>
        <v>Chicago → Tokyo</v>
      </c>
      <c r="L251" s="5">
        <f t="shared" si="10"/>
        <v>49.625</v>
      </c>
      <c r="M251" s="7">
        <f t="shared" si="11"/>
        <v>52801</v>
      </c>
      <c r="N251" s="7"/>
      <c r="O251" s="7"/>
    </row>
    <row r="252" spans="1:15" x14ac:dyDescent="0.25">
      <c r="A252" t="s">
        <v>260</v>
      </c>
      <c r="B252" t="s">
        <v>28</v>
      </c>
      <c r="C252" t="s">
        <v>2</v>
      </c>
      <c r="D252">
        <v>9</v>
      </c>
      <c r="E252">
        <v>30000</v>
      </c>
      <c r="F252">
        <v>-161.39926020313399</v>
      </c>
      <c r="G252">
        <v>-72.835034170859402</v>
      </c>
      <c r="H252">
        <v>2954</v>
      </c>
      <c r="I252">
        <v>397</v>
      </c>
      <c r="J252">
        <v>128</v>
      </c>
      <c r="K252" t="str">
        <f t="shared" si="9"/>
        <v>New York → Tokyo</v>
      </c>
      <c r="L252" s="5">
        <f t="shared" si="10"/>
        <v>44.111111111111114</v>
      </c>
      <c r="M252" s="7">
        <f t="shared" si="11"/>
        <v>50816</v>
      </c>
      <c r="N252" s="7"/>
      <c r="O252" s="7"/>
    </row>
    <row r="253" spans="1:15" x14ac:dyDescent="0.25">
      <c r="A253" t="s">
        <v>261</v>
      </c>
      <c r="B253" t="s">
        <v>1</v>
      </c>
      <c r="C253" t="s">
        <v>20</v>
      </c>
      <c r="D253">
        <v>8</v>
      </c>
      <c r="E253">
        <v>30000</v>
      </c>
      <c r="F253">
        <v>1.72641538963012</v>
      </c>
      <c r="G253">
        <v>-8.9894449032794501</v>
      </c>
      <c r="H253">
        <v>2500</v>
      </c>
      <c r="I253">
        <v>402</v>
      </c>
      <c r="J253">
        <v>111</v>
      </c>
      <c r="K253" t="str">
        <f t="shared" si="9"/>
        <v>Houston → Dubai</v>
      </c>
      <c r="L253" s="5">
        <f t="shared" si="10"/>
        <v>50.25</v>
      </c>
      <c r="M253" s="7">
        <f t="shared" si="11"/>
        <v>44622</v>
      </c>
      <c r="N253" s="7"/>
      <c r="O253" s="7"/>
    </row>
    <row r="254" spans="1:15" x14ac:dyDescent="0.25">
      <c r="A254" t="s">
        <v>262</v>
      </c>
      <c r="B254" t="s">
        <v>1</v>
      </c>
      <c r="C254" t="s">
        <v>13</v>
      </c>
      <c r="D254">
        <v>9</v>
      </c>
      <c r="E254">
        <v>35000</v>
      </c>
      <c r="F254">
        <v>78.643421036117999</v>
      </c>
      <c r="G254">
        <v>-29.2582297864388</v>
      </c>
      <c r="H254">
        <v>3000</v>
      </c>
      <c r="I254">
        <v>600</v>
      </c>
      <c r="J254">
        <v>200</v>
      </c>
      <c r="K254" t="str">
        <f t="shared" si="9"/>
        <v>Houston → Paris</v>
      </c>
      <c r="L254" s="5">
        <f t="shared" si="10"/>
        <v>66.666666666666671</v>
      </c>
      <c r="M254" s="7">
        <f t="shared" si="11"/>
        <v>120000</v>
      </c>
      <c r="N254" s="7"/>
      <c r="O254" s="7"/>
    </row>
    <row r="255" spans="1:15" x14ac:dyDescent="0.25">
      <c r="A255" t="s">
        <v>263</v>
      </c>
      <c r="B255" t="s">
        <v>6</v>
      </c>
      <c r="C255" t="s">
        <v>2</v>
      </c>
      <c r="D255">
        <v>15</v>
      </c>
      <c r="E255">
        <v>35000</v>
      </c>
      <c r="F255">
        <v>130.55056961370499</v>
      </c>
      <c r="G255">
        <v>66.723921982339107</v>
      </c>
      <c r="H255">
        <v>2000</v>
      </c>
      <c r="I255">
        <v>397</v>
      </c>
      <c r="J255">
        <v>200</v>
      </c>
      <c r="K255" t="str">
        <f t="shared" si="9"/>
        <v>Chicago → Tokyo</v>
      </c>
      <c r="L255" s="5">
        <f t="shared" si="10"/>
        <v>26.466666666666665</v>
      </c>
      <c r="M255" s="7">
        <f t="shared" si="11"/>
        <v>79400</v>
      </c>
      <c r="N255" s="7"/>
      <c r="O255" s="7"/>
    </row>
    <row r="256" spans="1:15" x14ac:dyDescent="0.25">
      <c r="A256" t="s">
        <v>264</v>
      </c>
      <c r="B256" t="s">
        <v>28</v>
      </c>
      <c r="C256" t="s">
        <v>20</v>
      </c>
      <c r="D256">
        <v>11</v>
      </c>
      <c r="E256">
        <v>30000</v>
      </c>
      <c r="F256">
        <v>-115.467979713196</v>
      </c>
      <c r="G256">
        <v>-74.965515357596601</v>
      </c>
      <c r="H256">
        <v>2588</v>
      </c>
      <c r="I256">
        <v>402</v>
      </c>
      <c r="J256">
        <v>134</v>
      </c>
      <c r="K256" t="str">
        <f t="shared" si="9"/>
        <v>New York → Dubai</v>
      </c>
      <c r="L256" s="5">
        <f t="shared" si="10"/>
        <v>36.545454545454547</v>
      </c>
      <c r="M256" s="7">
        <f t="shared" si="11"/>
        <v>53868</v>
      </c>
      <c r="N256" s="7"/>
      <c r="O256" s="7"/>
    </row>
    <row r="257" spans="1:15" x14ac:dyDescent="0.25">
      <c r="A257" t="s">
        <v>265</v>
      </c>
      <c r="B257" t="s">
        <v>6</v>
      </c>
      <c r="C257" t="s">
        <v>9</v>
      </c>
      <c r="D257">
        <v>9</v>
      </c>
      <c r="E257">
        <v>35000</v>
      </c>
      <c r="F257">
        <v>108.001253434925</v>
      </c>
      <c r="G257">
        <v>-51.997330339553301</v>
      </c>
      <c r="H257">
        <v>2000</v>
      </c>
      <c r="I257">
        <v>600</v>
      </c>
      <c r="J257">
        <v>137</v>
      </c>
      <c r="K257" t="str">
        <f t="shared" si="9"/>
        <v>Chicago → Sydney</v>
      </c>
      <c r="L257" s="5">
        <f t="shared" si="10"/>
        <v>66.666666666666671</v>
      </c>
      <c r="M257" s="7">
        <f t="shared" si="11"/>
        <v>82200</v>
      </c>
      <c r="N257" s="7"/>
      <c r="O257" s="7"/>
    </row>
    <row r="258" spans="1:15" x14ac:dyDescent="0.25">
      <c r="A258" t="s">
        <v>266</v>
      </c>
      <c r="B258" t="s">
        <v>28</v>
      </c>
      <c r="C258" t="s">
        <v>2</v>
      </c>
      <c r="D258">
        <v>9</v>
      </c>
      <c r="E258">
        <v>30000</v>
      </c>
      <c r="F258">
        <v>18.974547258676299</v>
      </c>
      <c r="G258">
        <v>45.444300765568997</v>
      </c>
      <c r="H258">
        <v>2954</v>
      </c>
      <c r="I258">
        <v>397</v>
      </c>
      <c r="J258">
        <v>128</v>
      </c>
      <c r="K258" t="str">
        <f t="shared" si="9"/>
        <v>New York → Tokyo</v>
      </c>
      <c r="L258" s="5">
        <f t="shared" si="10"/>
        <v>44.111111111111114</v>
      </c>
      <c r="M258" s="7">
        <f t="shared" si="11"/>
        <v>50816</v>
      </c>
      <c r="N258" s="7"/>
      <c r="O258" s="7"/>
    </row>
    <row r="259" spans="1:15" x14ac:dyDescent="0.25">
      <c r="A259" t="s">
        <v>267</v>
      </c>
      <c r="B259" t="s">
        <v>4</v>
      </c>
      <c r="C259" t="s">
        <v>20</v>
      </c>
      <c r="D259">
        <v>9</v>
      </c>
      <c r="E259">
        <v>35000</v>
      </c>
      <c r="F259">
        <v>-37.240674483613198</v>
      </c>
      <c r="G259">
        <v>-80.767107183381199</v>
      </c>
      <c r="H259">
        <v>2000</v>
      </c>
      <c r="I259">
        <v>600</v>
      </c>
      <c r="J259">
        <v>100</v>
      </c>
      <c r="K259" t="str">
        <f t="shared" ref="K259:K322" si="12">B259 &amp; " → " &amp; C259</f>
        <v>Miami → Dubai</v>
      </c>
      <c r="L259" s="5">
        <f t="shared" ref="L259:L322" si="13">I259/D259</f>
        <v>66.666666666666671</v>
      </c>
      <c r="M259" s="7">
        <f t="shared" ref="M259:M322" si="14">I259*J259</f>
        <v>60000</v>
      </c>
      <c r="N259" s="7"/>
      <c r="O259" s="7"/>
    </row>
    <row r="260" spans="1:15" x14ac:dyDescent="0.25">
      <c r="A260" t="s">
        <v>268</v>
      </c>
      <c r="B260" t="s">
        <v>11</v>
      </c>
      <c r="C260" t="s">
        <v>20</v>
      </c>
      <c r="D260">
        <v>7</v>
      </c>
      <c r="E260">
        <v>32000</v>
      </c>
      <c r="F260">
        <v>-132.582589711526</v>
      </c>
      <c r="G260">
        <v>-1.34363147142793</v>
      </c>
      <c r="H260">
        <v>3000</v>
      </c>
      <c r="I260">
        <v>600</v>
      </c>
      <c r="J260">
        <v>50</v>
      </c>
      <c r="K260" t="str">
        <f t="shared" si="12"/>
        <v>Los Angeles → Dubai</v>
      </c>
      <c r="L260" s="5">
        <f t="shared" si="13"/>
        <v>85.714285714285708</v>
      </c>
      <c r="M260" s="7">
        <f t="shared" si="14"/>
        <v>30000</v>
      </c>
      <c r="N260" s="7"/>
      <c r="O260" s="7"/>
    </row>
    <row r="261" spans="1:15" x14ac:dyDescent="0.25">
      <c r="A261" t="s">
        <v>269</v>
      </c>
      <c r="B261" t="s">
        <v>11</v>
      </c>
      <c r="C261" t="s">
        <v>15</v>
      </c>
      <c r="D261">
        <v>8</v>
      </c>
      <c r="E261">
        <v>30000</v>
      </c>
      <c r="F261">
        <v>131.50647320720799</v>
      </c>
      <c r="G261">
        <v>-10.4207337576504</v>
      </c>
      <c r="H261">
        <v>2760</v>
      </c>
      <c r="I261">
        <v>374</v>
      </c>
      <c r="J261">
        <v>131</v>
      </c>
      <c r="K261" t="str">
        <f t="shared" si="12"/>
        <v>Los Angeles → London</v>
      </c>
      <c r="L261" s="5">
        <f t="shared" si="13"/>
        <v>46.75</v>
      </c>
      <c r="M261" s="7">
        <f t="shared" si="14"/>
        <v>48994</v>
      </c>
      <c r="N261" s="7"/>
      <c r="O261" s="7"/>
    </row>
    <row r="262" spans="1:15" x14ac:dyDescent="0.25">
      <c r="A262" t="s">
        <v>270</v>
      </c>
      <c r="B262" t="s">
        <v>11</v>
      </c>
      <c r="C262" t="s">
        <v>9</v>
      </c>
      <c r="D262">
        <v>8</v>
      </c>
      <c r="E262">
        <v>30000</v>
      </c>
      <c r="F262">
        <v>-123.381645055302</v>
      </c>
      <c r="G262">
        <v>-29.807787782025201</v>
      </c>
      <c r="H262">
        <v>3000</v>
      </c>
      <c r="I262">
        <v>356</v>
      </c>
      <c r="J262">
        <v>145</v>
      </c>
      <c r="K262" t="str">
        <f t="shared" si="12"/>
        <v>Los Angeles → Sydney</v>
      </c>
      <c r="L262" s="5">
        <f t="shared" si="13"/>
        <v>44.5</v>
      </c>
      <c r="M262" s="7">
        <f t="shared" si="14"/>
        <v>51620</v>
      </c>
      <c r="N262" s="7"/>
      <c r="O262" s="7"/>
    </row>
    <row r="263" spans="1:15" x14ac:dyDescent="0.25">
      <c r="A263" t="s">
        <v>271</v>
      </c>
      <c r="B263" t="s">
        <v>6</v>
      </c>
      <c r="C263" t="s">
        <v>15</v>
      </c>
      <c r="D263">
        <v>9</v>
      </c>
      <c r="E263">
        <v>30000</v>
      </c>
      <c r="F263">
        <v>-68.476370684724301</v>
      </c>
      <c r="G263">
        <v>-18.9769832425937</v>
      </c>
      <c r="H263">
        <v>2678</v>
      </c>
      <c r="I263">
        <v>374</v>
      </c>
      <c r="J263">
        <v>116</v>
      </c>
      <c r="K263" t="str">
        <f t="shared" si="12"/>
        <v>Chicago → London</v>
      </c>
      <c r="L263" s="5">
        <f t="shared" si="13"/>
        <v>41.555555555555557</v>
      </c>
      <c r="M263" s="7">
        <f t="shared" si="14"/>
        <v>43384</v>
      </c>
      <c r="N263" s="7"/>
      <c r="O263" s="7"/>
    </row>
    <row r="264" spans="1:15" x14ac:dyDescent="0.25">
      <c r="A264" t="s">
        <v>272</v>
      </c>
      <c r="B264" t="s">
        <v>4</v>
      </c>
      <c r="C264" t="s">
        <v>13</v>
      </c>
      <c r="D264">
        <v>8</v>
      </c>
      <c r="E264">
        <v>30000</v>
      </c>
      <c r="F264">
        <v>-75.583608493522703</v>
      </c>
      <c r="G264">
        <v>5.3893056474419296</v>
      </c>
      <c r="H264">
        <v>3000</v>
      </c>
      <c r="I264">
        <v>300</v>
      </c>
      <c r="J264">
        <v>50</v>
      </c>
      <c r="K264" t="str">
        <f t="shared" si="12"/>
        <v>Miami → Paris</v>
      </c>
      <c r="L264" s="5">
        <f t="shared" si="13"/>
        <v>37.5</v>
      </c>
      <c r="M264" s="7">
        <f t="shared" si="14"/>
        <v>15000</v>
      </c>
      <c r="N264" s="7"/>
      <c r="O264" s="7"/>
    </row>
    <row r="265" spans="1:15" x14ac:dyDescent="0.25">
      <c r="A265" t="s">
        <v>273</v>
      </c>
      <c r="B265" t="s">
        <v>28</v>
      </c>
      <c r="C265" t="s">
        <v>15</v>
      </c>
      <c r="D265">
        <v>9</v>
      </c>
      <c r="E265">
        <v>35000</v>
      </c>
      <c r="F265">
        <v>133.70905230870801</v>
      </c>
      <c r="G265">
        <v>-60.953875490091001</v>
      </c>
      <c r="H265">
        <v>3500</v>
      </c>
      <c r="I265">
        <v>150</v>
      </c>
      <c r="J265">
        <v>150</v>
      </c>
      <c r="K265" t="str">
        <f t="shared" si="12"/>
        <v>New York → London</v>
      </c>
      <c r="L265" s="5">
        <f t="shared" si="13"/>
        <v>16.666666666666668</v>
      </c>
      <c r="M265" s="7">
        <f t="shared" si="14"/>
        <v>22500</v>
      </c>
      <c r="N265" s="7"/>
      <c r="O265" s="7"/>
    </row>
    <row r="266" spans="1:15" x14ac:dyDescent="0.25">
      <c r="A266" t="s">
        <v>274</v>
      </c>
      <c r="B266" t="s">
        <v>1</v>
      </c>
      <c r="C266" t="s">
        <v>15</v>
      </c>
      <c r="D266">
        <v>15</v>
      </c>
      <c r="E266">
        <v>35000</v>
      </c>
      <c r="F266">
        <v>62.173077915203301</v>
      </c>
      <c r="G266">
        <v>12.959258091046699</v>
      </c>
      <c r="H266">
        <v>3500</v>
      </c>
      <c r="I266">
        <v>300</v>
      </c>
      <c r="J266">
        <v>150</v>
      </c>
      <c r="K266" t="str">
        <f t="shared" si="12"/>
        <v>Houston → London</v>
      </c>
      <c r="L266" s="5">
        <f t="shared" si="13"/>
        <v>20</v>
      </c>
      <c r="M266" s="7">
        <f t="shared" si="14"/>
        <v>45000</v>
      </c>
      <c r="N266" s="7"/>
      <c r="O266" s="7"/>
    </row>
    <row r="267" spans="1:15" x14ac:dyDescent="0.25">
      <c r="A267" t="s">
        <v>275</v>
      </c>
      <c r="B267" t="s">
        <v>28</v>
      </c>
      <c r="C267" t="s">
        <v>2</v>
      </c>
      <c r="D267">
        <v>9</v>
      </c>
      <c r="E267">
        <v>30000</v>
      </c>
      <c r="F267">
        <v>106.805302988894</v>
      </c>
      <c r="G267">
        <v>54.977819273997497</v>
      </c>
      <c r="H267">
        <v>2954</v>
      </c>
      <c r="I267">
        <v>397</v>
      </c>
      <c r="J267">
        <v>128</v>
      </c>
      <c r="K267" t="str">
        <f t="shared" si="12"/>
        <v>New York → Tokyo</v>
      </c>
      <c r="L267" s="5">
        <f t="shared" si="13"/>
        <v>44.111111111111114</v>
      </c>
      <c r="M267" s="7">
        <f t="shared" si="14"/>
        <v>50816</v>
      </c>
      <c r="N267" s="7"/>
      <c r="O267" s="7"/>
    </row>
    <row r="268" spans="1:15" x14ac:dyDescent="0.25">
      <c r="A268" t="s">
        <v>276</v>
      </c>
      <c r="B268" t="s">
        <v>1</v>
      </c>
      <c r="C268" t="s">
        <v>20</v>
      </c>
      <c r="D268">
        <v>8</v>
      </c>
      <c r="E268">
        <v>30000</v>
      </c>
      <c r="F268">
        <v>-89.831556434700403</v>
      </c>
      <c r="G268">
        <v>46.828967362228603</v>
      </c>
      <c r="H268">
        <v>2500</v>
      </c>
      <c r="I268">
        <v>402</v>
      </c>
      <c r="J268">
        <v>111</v>
      </c>
      <c r="K268" t="str">
        <f t="shared" si="12"/>
        <v>Houston → Dubai</v>
      </c>
      <c r="L268" s="5">
        <f t="shared" si="13"/>
        <v>50.25</v>
      </c>
      <c r="M268" s="7">
        <f t="shared" si="14"/>
        <v>44622</v>
      </c>
      <c r="N268" s="7"/>
      <c r="O268" s="7"/>
    </row>
    <row r="269" spans="1:15" x14ac:dyDescent="0.25">
      <c r="A269" t="s">
        <v>277</v>
      </c>
      <c r="B269" t="s">
        <v>28</v>
      </c>
      <c r="C269" t="s">
        <v>9</v>
      </c>
      <c r="D269">
        <v>15</v>
      </c>
      <c r="E269">
        <v>30000</v>
      </c>
      <c r="F269">
        <v>44.9546758585196</v>
      </c>
      <c r="G269">
        <v>-62.298017155120696</v>
      </c>
      <c r="H269">
        <v>2800</v>
      </c>
      <c r="I269">
        <v>600</v>
      </c>
      <c r="J269">
        <v>100</v>
      </c>
      <c r="K269" t="str">
        <f t="shared" si="12"/>
        <v>New York → Sydney</v>
      </c>
      <c r="L269" s="5">
        <f t="shared" si="13"/>
        <v>40</v>
      </c>
      <c r="M269" s="7">
        <f t="shared" si="14"/>
        <v>60000</v>
      </c>
      <c r="N269" s="7"/>
      <c r="O269" s="7"/>
    </row>
    <row r="270" spans="1:15" x14ac:dyDescent="0.25">
      <c r="A270" t="s">
        <v>278</v>
      </c>
      <c r="B270" t="s">
        <v>4</v>
      </c>
      <c r="C270" t="s">
        <v>15</v>
      </c>
      <c r="D270">
        <v>5</v>
      </c>
      <c r="E270">
        <v>30000</v>
      </c>
      <c r="F270">
        <v>25.8285539317495</v>
      </c>
      <c r="G270">
        <v>-63.135095446534699</v>
      </c>
      <c r="H270">
        <v>2000</v>
      </c>
      <c r="I270">
        <v>600</v>
      </c>
      <c r="J270">
        <v>150</v>
      </c>
      <c r="K270" t="str">
        <f t="shared" si="12"/>
        <v>Miami → London</v>
      </c>
      <c r="L270" s="5">
        <f t="shared" si="13"/>
        <v>120</v>
      </c>
      <c r="M270" s="7">
        <f t="shared" si="14"/>
        <v>90000</v>
      </c>
      <c r="N270" s="7"/>
      <c r="O270" s="7"/>
    </row>
    <row r="271" spans="1:15" x14ac:dyDescent="0.25">
      <c r="A271" t="s">
        <v>279</v>
      </c>
      <c r="B271" t="s">
        <v>1</v>
      </c>
      <c r="C271" t="s">
        <v>9</v>
      </c>
      <c r="D271">
        <v>15</v>
      </c>
      <c r="E271">
        <v>32000</v>
      </c>
      <c r="F271">
        <v>119.818935643778</v>
      </c>
      <c r="G271">
        <v>-41.7286138059156</v>
      </c>
      <c r="H271">
        <v>2000</v>
      </c>
      <c r="I271">
        <v>356</v>
      </c>
      <c r="J271">
        <v>200</v>
      </c>
      <c r="K271" t="str">
        <f t="shared" si="12"/>
        <v>Houston → Sydney</v>
      </c>
      <c r="L271" s="5">
        <f t="shared" si="13"/>
        <v>23.733333333333334</v>
      </c>
      <c r="M271" s="7">
        <f t="shared" si="14"/>
        <v>71200</v>
      </c>
      <c r="N271" s="7"/>
      <c r="O271" s="7"/>
    </row>
    <row r="272" spans="1:15" x14ac:dyDescent="0.25">
      <c r="A272" t="s">
        <v>280</v>
      </c>
      <c r="B272" t="s">
        <v>6</v>
      </c>
      <c r="C272" t="s">
        <v>15</v>
      </c>
      <c r="D272">
        <v>15</v>
      </c>
      <c r="E272">
        <v>30000</v>
      </c>
      <c r="F272">
        <v>146.19134177325401</v>
      </c>
      <c r="G272">
        <v>-25.006549258613301</v>
      </c>
      <c r="H272">
        <v>2000</v>
      </c>
      <c r="I272">
        <v>300</v>
      </c>
      <c r="J272">
        <v>100</v>
      </c>
      <c r="K272" t="str">
        <f t="shared" si="12"/>
        <v>Chicago → London</v>
      </c>
      <c r="L272" s="5">
        <f t="shared" si="13"/>
        <v>20</v>
      </c>
      <c r="M272" s="7">
        <f t="shared" si="14"/>
        <v>30000</v>
      </c>
      <c r="N272" s="7"/>
      <c r="O272" s="7"/>
    </row>
    <row r="273" spans="1:15" x14ac:dyDescent="0.25">
      <c r="A273" t="s">
        <v>281</v>
      </c>
      <c r="B273" t="s">
        <v>28</v>
      </c>
      <c r="C273" t="s">
        <v>13</v>
      </c>
      <c r="D273">
        <v>7</v>
      </c>
      <c r="E273">
        <v>30000</v>
      </c>
      <c r="F273">
        <v>-175.623562268141</v>
      </c>
      <c r="G273">
        <v>-16.477995346473101</v>
      </c>
      <c r="H273">
        <v>2500</v>
      </c>
      <c r="I273">
        <v>354</v>
      </c>
      <c r="J273">
        <v>50</v>
      </c>
      <c r="K273" t="str">
        <f t="shared" si="12"/>
        <v>New York → Paris</v>
      </c>
      <c r="L273" s="5">
        <f t="shared" si="13"/>
        <v>50.571428571428569</v>
      </c>
      <c r="M273" s="7">
        <f t="shared" si="14"/>
        <v>17700</v>
      </c>
      <c r="N273" s="7"/>
      <c r="O273" s="7"/>
    </row>
    <row r="274" spans="1:15" x14ac:dyDescent="0.25">
      <c r="A274" t="s">
        <v>282</v>
      </c>
      <c r="B274" t="s">
        <v>28</v>
      </c>
      <c r="C274" t="s">
        <v>15</v>
      </c>
      <c r="D274">
        <v>7</v>
      </c>
      <c r="E274">
        <v>32000</v>
      </c>
      <c r="F274">
        <v>62.647170861165399</v>
      </c>
      <c r="G274">
        <v>32.345499030002102</v>
      </c>
      <c r="H274">
        <v>2500</v>
      </c>
      <c r="I274">
        <v>150</v>
      </c>
      <c r="J274">
        <v>50</v>
      </c>
      <c r="K274" t="str">
        <f t="shared" si="12"/>
        <v>New York → London</v>
      </c>
      <c r="L274" s="5">
        <f t="shared" si="13"/>
        <v>21.428571428571427</v>
      </c>
      <c r="M274" s="7">
        <f t="shared" si="14"/>
        <v>7500</v>
      </c>
      <c r="N274" s="7"/>
      <c r="O274" s="7"/>
    </row>
    <row r="275" spans="1:15" x14ac:dyDescent="0.25">
      <c r="A275" t="s">
        <v>283</v>
      </c>
      <c r="B275" t="s">
        <v>1</v>
      </c>
      <c r="C275" t="s">
        <v>2</v>
      </c>
      <c r="D275">
        <v>15</v>
      </c>
      <c r="E275">
        <v>35000</v>
      </c>
      <c r="F275">
        <v>-161.339112316898</v>
      </c>
      <c r="G275">
        <v>-79.797522210149594</v>
      </c>
      <c r="H275">
        <v>2550</v>
      </c>
      <c r="I275">
        <v>600</v>
      </c>
      <c r="J275">
        <v>120</v>
      </c>
      <c r="K275" t="str">
        <f t="shared" si="12"/>
        <v>Houston → Tokyo</v>
      </c>
      <c r="L275" s="5">
        <f t="shared" si="13"/>
        <v>40</v>
      </c>
      <c r="M275" s="7">
        <f t="shared" si="14"/>
        <v>72000</v>
      </c>
      <c r="N275" s="7"/>
      <c r="O275" s="7"/>
    </row>
    <row r="276" spans="1:15" x14ac:dyDescent="0.25">
      <c r="A276" t="s">
        <v>284</v>
      </c>
      <c r="B276" t="s">
        <v>6</v>
      </c>
      <c r="C276" t="s">
        <v>20</v>
      </c>
      <c r="D276">
        <v>10</v>
      </c>
      <c r="E276">
        <v>30000</v>
      </c>
      <c r="F276">
        <v>17.5891194278481</v>
      </c>
      <c r="G276">
        <v>-83.758913239308001</v>
      </c>
      <c r="H276">
        <v>2636</v>
      </c>
      <c r="I276">
        <v>402</v>
      </c>
      <c r="J276">
        <v>114</v>
      </c>
      <c r="K276" t="str">
        <f t="shared" si="12"/>
        <v>Chicago → Dubai</v>
      </c>
      <c r="L276" s="5">
        <f t="shared" si="13"/>
        <v>40.200000000000003</v>
      </c>
      <c r="M276" s="7">
        <f t="shared" si="14"/>
        <v>45828</v>
      </c>
      <c r="N276" s="7"/>
      <c r="O276" s="7"/>
    </row>
    <row r="277" spans="1:15" x14ac:dyDescent="0.25">
      <c r="A277" t="s">
        <v>285</v>
      </c>
      <c r="B277" t="s">
        <v>6</v>
      </c>
      <c r="C277" t="s">
        <v>13</v>
      </c>
      <c r="D277">
        <v>10</v>
      </c>
      <c r="E277">
        <v>30000</v>
      </c>
      <c r="F277">
        <v>-76.452217544275797</v>
      </c>
      <c r="G277">
        <v>-19.456098670096399</v>
      </c>
      <c r="H277">
        <v>2928</v>
      </c>
      <c r="I277">
        <v>354</v>
      </c>
      <c r="J277">
        <v>121</v>
      </c>
      <c r="K277" t="str">
        <f t="shared" si="12"/>
        <v>Chicago → Paris</v>
      </c>
      <c r="L277" s="5">
        <f t="shared" si="13"/>
        <v>35.4</v>
      </c>
      <c r="M277" s="7">
        <f t="shared" si="14"/>
        <v>42834</v>
      </c>
      <c r="N277" s="7"/>
      <c r="O277" s="7"/>
    </row>
    <row r="278" spans="1:15" x14ac:dyDescent="0.25">
      <c r="A278" t="s">
        <v>286</v>
      </c>
      <c r="B278" t="s">
        <v>4</v>
      </c>
      <c r="C278" t="s">
        <v>15</v>
      </c>
      <c r="D278">
        <v>7</v>
      </c>
      <c r="E278">
        <v>35000</v>
      </c>
      <c r="F278">
        <v>-69.560424172029201</v>
      </c>
      <c r="G278">
        <v>35.489464584836497</v>
      </c>
      <c r="H278">
        <v>2000</v>
      </c>
      <c r="I278">
        <v>150</v>
      </c>
      <c r="J278">
        <v>50</v>
      </c>
      <c r="K278" t="str">
        <f t="shared" si="12"/>
        <v>Miami → London</v>
      </c>
      <c r="L278" s="5">
        <f t="shared" si="13"/>
        <v>21.428571428571427</v>
      </c>
      <c r="M278" s="7">
        <f t="shared" si="14"/>
        <v>7500</v>
      </c>
      <c r="N278" s="7"/>
      <c r="O278" s="7"/>
    </row>
    <row r="279" spans="1:15" x14ac:dyDescent="0.25">
      <c r="A279" t="s">
        <v>287</v>
      </c>
      <c r="B279" t="s">
        <v>6</v>
      </c>
      <c r="C279" t="s">
        <v>9</v>
      </c>
      <c r="D279">
        <v>9</v>
      </c>
      <c r="E279">
        <v>30000</v>
      </c>
      <c r="F279">
        <v>-52.934938757151599</v>
      </c>
      <c r="G279">
        <v>-55.181638267833101</v>
      </c>
      <c r="H279">
        <v>2678</v>
      </c>
      <c r="I279">
        <v>356</v>
      </c>
      <c r="J279">
        <v>137</v>
      </c>
      <c r="K279" t="str">
        <f t="shared" si="12"/>
        <v>Chicago → Sydney</v>
      </c>
      <c r="L279" s="5">
        <f t="shared" si="13"/>
        <v>39.555555555555557</v>
      </c>
      <c r="M279" s="7">
        <f t="shared" si="14"/>
        <v>48772</v>
      </c>
      <c r="N279" s="7"/>
      <c r="O279" s="7"/>
    </row>
    <row r="280" spans="1:15" x14ac:dyDescent="0.25">
      <c r="A280" t="s">
        <v>288</v>
      </c>
      <c r="B280" t="s">
        <v>6</v>
      </c>
      <c r="C280" t="s">
        <v>13</v>
      </c>
      <c r="D280">
        <v>15</v>
      </c>
      <c r="E280">
        <v>35000</v>
      </c>
      <c r="F280">
        <v>43.665281657859701</v>
      </c>
      <c r="G280">
        <v>25.470806626125299</v>
      </c>
      <c r="H280">
        <v>2500</v>
      </c>
      <c r="I280">
        <v>300</v>
      </c>
      <c r="J280">
        <v>50</v>
      </c>
      <c r="K280" t="str">
        <f t="shared" si="12"/>
        <v>Chicago → Paris</v>
      </c>
      <c r="L280" s="5">
        <f t="shared" si="13"/>
        <v>20</v>
      </c>
      <c r="M280" s="7">
        <f t="shared" si="14"/>
        <v>15000</v>
      </c>
      <c r="N280" s="7"/>
      <c r="O280" s="7"/>
    </row>
    <row r="281" spans="1:15" x14ac:dyDescent="0.25">
      <c r="A281" t="s">
        <v>289</v>
      </c>
      <c r="B281" t="s">
        <v>6</v>
      </c>
      <c r="C281" t="s">
        <v>13</v>
      </c>
      <c r="D281">
        <v>12</v>
      </c>
      <c r="E281">
        <v>30000</v>
      </c>
      <c r="F281">
        <v>-59.742012359243098</v>
      </c>
      <c r="G281">
        <v>-43.2309351707461</v>
      </c>
      <c r="H281">
        <v>2500</v>
      </c>
      <c r="I281">
        <v>600</v>
      </c>
      <c r="J281">
        <v>50</v>
      </c>
      <c r="K281" t="str">
        <f t="shared" si="12"/>
        <v>Chicago → Paris</v>
      </c>
      <c r="L281" s="5">
        <f t="shared" si="13"/>
        <v>50</v>
      </c>
      <c r="M281" s="7">
        <f t="shared" si="14"/>
        <v>30000</v>
      </c>
      <c r="N281" s="7"/>
      <c r="O281" s="7"/>
    </row>
    <row r="282" spans="1:15" x14ac:dyDescent="0.25">
      <c r="A282" t="s">
        <v>290</v>
      </c>
      <c r="B282" t="s">
        <v>11</v>
      </c>
      <c r="C282" t="s">
        <v>15</v>
      </c>
      <c r="D282">
        <v>8</v>
      </c>
      <c r="E282">
        <v>30000</v>
      </c>
      <c r="F282">
        <v>83.771658212500896</v>
      </c>
      <c r="G282">
        <v>69.495499586432899</v>
      </c>
      <c r="H282">
        <v>2760</v>
      </c>
      <c r="I282">
        <v>374</v>
      </c>
      <c r="J282">
        <v>131</v>
      </c>
      <c r="K282" t="str">
        <f t="shared" si="12"/>
        <v>Los Angeles → London</v>
      </c>
      <c r="L282" s="5">
        <f t="shared" si="13"/>
        <v>46.75</v>
      </c>
      <c r="M282" s="7">
        <f t="shared" si="14"/>
        <v>48994</v>
      </c>
      <c r="N282" s="7"/>
      <c r="O282" s="7"/>
    </row>
    <row r="283" spans="1:15" x14ac:dyDescent="0.25">
      <c r="A283" t="s">
        <v>291</v>
      </c>
      <c r="B283" t="s">
        <v>4</v>
      </c>
      <c r="C283" t="s">
        <v>13</v>
      </c>
      <c r="D283">
        <v>8</v>
      </c>
      <c r="E283">
        <v>30000</v>
      </c>
      <c r="F283">
        <v>-34.370141193406901</v>
      </c>
      <c r="G283">
        <v>71.224189967990995</v>
      </c>
      <c r="H283">
        <v>2718</v>
      </c>
      <c r="I283">
        <v>354</v>
      </c>
      <c r="J283">
        <v>115</v>
      </c>
      <c r="K283" t="str">
        <f t="shared" si="12"/>
        <v>Miami → Paris</v>
      </c>
      <c r="L283" s="5">
        <f t="shared" si="13"/>
        <v>44.25</v>
      </c>
      <c r="M283" s="7">
        <f t="shared" si="14"/>
        <v>40710</v>
      </c>
      <c r="N283" s="7"/>
      <c r="O283" s="7"/>
    </row>
    <row r="284" spans="1:15" x14ac:dyDescent="0.25">
      <c r="A284" t="s">
        <v>292</v>
      </c>
      <c r="B284" t="s">
        <v>28</v>
      </c>
      <c r="C284" t="s">
        <v>9</v>
      </c>
      <c r="D284">
        <v>5</v>
      </c>
      <c r="E284">
        <v>32000</v>
      </c>
      <c r="F284">
        <v>-155.39284788841499</v>
      </c>
      <c r="G284">
        <v>-36.4883032293612</v>
      </c>
      <c r="H284">
        <v>2000</v>
      </c>
      <c r="I284">
        <v>450</v>
      </c>
      <c r="J284">
        <v>100</v>
      </c>
      <c r="K284" t="str">
        <f t="shared" si="12"/>
        <v>New York → Sydney</v>
      </c>
      <c r="L284" s="5">
        <f t="shared" si="13"/>
        <v>90</v>
      </c>
      <c r="M284" s="7">
        <f t="shared" si="14"/>
        <v>45000</v>
      </c>
      <c r="N284" s="7"/>
      <c r="O284" s="7"/>
    </row>
    <row r="285" spans="1:15" x14ac:dyDescent="0.25">
      <c r="A285" t="s">
        <v>293</v>
      </c>
      <c r="B285" t="s">
        <v>1</v>
      </c>
      <c r="C285" t="s">
        <v>13</v>
      </c>
      <c r="D285">
        <v>12</v>
      </c>
      <c r="E285">
        <v>32000</v>
      </c>
      <c r="F285">
        <v>102.153543294279</v>
      </c>
      <c r="G285">
        <v>-48.601124286616702</v>
      </c>
      <c r="H285">
        <v>2647</v>
      </c>
      <c r="I285">
        <v>300</v>
      </c>
      <c r="J285">
        <v>200</v>
      </c>
      <c r="K285" t="str">
        <f t="shared" si="12"/>
        <v>Houston → Paris</v>
      </c>
      <c r="L285" s="5">
        <f t="shared" si="13"/>
        <v>25</v>
      </c>
      <c r="M285" s="7">
        <f t="shared" si="14"/>
        <v>60000</v>
      </c>
      <c r="N285" s="7"/>
      <c r="O285" s="7"/>
    </row>
    <row r="286" spans="1:15" x14ac:dyDescent="0.25">
      <c r="A286" t="s">
        <v>294</v>
      </c>
      <c r="B286" t="s">
        <v>28</v>
      </c>
      <c r="C286" t="s">
        <v>9</v>
      </c>
      <c r="D286">
        <v>9</v>
      </c>
      <c r="E286">
        <v>30000</v>
      </c>
      <c r="F286">
        <v>-77.127003146625796</v>
      </c>
      <c r="G286">
        <v>-15.9652850280784</v>
      </c>
      <c r="H286">
        <v>3500</v>
      </c>
      <c r="I286">
        <v>300</v>
      </c>
      <c r="J286">
        <v>150</v>
      </c>
      <c r="K286" t="str">
        <f t="shared" si="12"/>
        <v>New York → Sydney</v>
      </c>
      <c r="L286" s="5">
        <f t="shared" si="13"/>
        <v>33.333333333333336</v>
      </c>
      <c r="M286" s="7">
        <f t="shared" si="14"/>
        <v>45000</v>
      </c>
      <c r="N286" s="7"/>
      <c r="O286" s="7"/>
    </row>
    <row r="287" spans="1:15" x14ac:dyDescent="0.25">
      <c r="A287" t="s">
        <v>295</v>
      </c>
      <c r="B287" t="s">
        <v>4</v>
      </c>
      <c r="C287" t="s">
        <v>15</v>
      </c>
      <c r="D287">
        <v>15</v>
      </c>
      <c r="E287">
        <v>30000</v>
      </c>
      <c r="F287">
        <v>-24.203923344265501</v>
      </c>
      <c r="G287">
        <v>-46.7043146675732</v>
      </c>
      <c r="H287">
        <v>3000</v>
      </c>
      <c r="I287">
        <v>450</v>
      </c>
      <c r="J287">
        <v>50</v>
      </c>
      <c r="K287" t="str">
        <f t="shared" si="12"/>
        <v>Miami → London</v>
      </c>
      <c r="L287" s="5">
        <f t="shared" si="13"/>
        <v>30</v>
      </c>
      <c r="M287" s="7">
        <f t="shared" si="14"/>
        <v>22500</v>
      </c>
      <c r="N287" s="7"/>
      <c r="O287" s="7"/>
    </row>
    <row r="288" spans="1:15" x14ac:dyDescent="0.25">
      <c r="A288" t="s">
        <v>296</v>
      </c>
      <c r="B288" t="s">
        <v>1</v>
      </c>
      <c r="C288" t="s">
        <v>20</v>
      </c>
      <c r="D288">
        <v>8</v>
      </c>
      <c r="E288">
        <v>30000</v>
      </c>
      <c r="F288">
        <v>66.759797959884494</v>
      </c>
      <c r="G288">
        <v>31.029091792506701</v>
      </c>
      <c r="H288">
        <v>2500</v>
      </c>
      <c r="I288">
        <v>402</v>
      </c>
      <c r="J288">
        <v>111</v>
      </c>
      <c r="K288" t="str">
        <f t="shared" si="12"/>
        <v>Houston → Dubai</v>
      </c>
      <c r="L288" s="5">
        <f t="shared" si="13"/>
        <v>50.25</v>
      </c>
      <c r="M288" s="7">
        <f t="shared" si="14"/>
        <v>44622</v>
      </c>
      <c r="N288" s="7"/>
      <c r="O288" s="7"/>
    </row>
    <row r="289" spans="1:15" x14ac:dyDescent="0.25">
      <c r="A289" t="s">
        <v>297</v>
      </c>
      <c r="B289" t="s">
        <v>4</v>
      </c>
      <c r="C289" t="s">
        <v>13</v>
      </c>
      <c r="D289">
        <v>15</v>
      </c>
      <c r="E289">
        <v>30000</v>
      </c>
      <c r="F289">
        <v>-60.315783426463703</v>
      </c>
      <c r="G289">
        <v>58.691643218691397</v>
      </c>
      <c r="H289">
        <v>3500</v>
      </c>
      <c r="I289">
        <v>300</v>
      </c>
      <c r="J289">
        <v>115</v>
      </c>
      <c r="K289" t="str">
        <f t="shared" si="12"/>
        <v>Miami → Paris</v>
      </c>
      <c r="L289" s="5">
        <f t="shared" si="13"/>
        <v>20</v>
      </c>
      <c r="M289" s="7">
        <f t="shared" si="14"/>
        <v>34500</v>
      </c>
      <c r="N289" s="7"/>
      <c r="O289" s="7"/>
    </row>
    <row r="290" spans="1:15" x14ac:dyDescent="0.25">
      <c r="A290" t="s">
        <v>298</v>
      </c>
      <c r="B290" t="s">
        <v>6</v>
      </c>
      <c r="C290" t="s">
        <v>20</v>
      </c>
      <c r="D290">
        <v>7</v>
      </c>
      <c r="E290">
        <v>35000</v>
      </c>
      <c r="F290">
        <v>-159.62916378718199</v>
      </c>
      <c r="G290">
        <v>31.156583564019101</v>
      </c>
      <c r="H290">
        <v>2636</v>
      </c>
      <c r="I290">
        <v>450</v>
      </c>
      <c r="J290">
        <v>114</v>
      </c>
      <c r="K290" t="str">
        <f t="shared" si="12"/>
        <v>Chicago → Dubai</v>
      </c>
      <c r="L290" s="5">
        <f t="shared" si="13"/>
        <v>64.285714285714292</v>
      </c>
      <c r="M290" s="7">
        <f t="shared" si="14"/>
        <v>51300</v>
      </c>
      <c r="N290" s="7"/>
      <c r="O290" s="7"/>
    </row>
    <row r="291" spans="1:15" x14ac:dyDescent="0.25">
      <c r="A291" t="s">
        <v>299</v>
      </c>
      <c r="B291" t="s">
        <v>1</v>
      </c>
      <c r="C291" t="s">
        <v>9</v>
      </c>
      <c r="D291">
        <v>9</v>
      </c>
      <c r="E291">
        <v>30000</v>
      </c>
      <c r="F291">
        <v>-45.388423075387102</v>
      </c>
      <c r="G291">
        <v>58.383080504882898</v>
      </c>
      <c r="H291">
        <v>2500</v>
      </c>
      <c r="I291">
        <v>356</v>
      </c>
      <c r="J291">
        <v>127</v>
      </c>
      <c r="K291" t="str">
        <f t="shared" si="12"/>
        <v>Houston → Sydney</v>
      </c>
      <c r="L291" s="5">
        <f t="shared" si="13"/>
        <v>39.555555555555557</v>
      </c>
      <c r="M291" s="7">
        <f t="shared" si="14"/>
        <v>45212</v>
      </c>
      <c r="N291" s="7"/>
      <c r="O291" s="7"/>
    </row>
    <row r="292" spans="1:15" x14ac:dyDescent="0.25">
      <c r="A292" t="s">
        <v>300</v>
      </c>
      <c r="B292" t="s">
        <v>6</v>
      </c>
      <c r="C292" t="s">
        <v>13</v>
      </c>
      <c r="D292">
        <v>10</v>
      </c>
      <c r="E292">
        <v>30000</v>
      </c>
      <c r="F292">
        <v>160.00148976994899</v>
      </c>
      <c r="G292">
        <v>-18.5414108026546</v>
      </c>
      <c r="H292">
        <v>2928</v>
      </c>
      <c r="I292">
        <v>354</v>
      </c>
      <c r="J292">
        <v>121</v>
      </c>
      <c r="K292" t="str">
        <f t="shared" si="12"/>
        <v>Chicago → Paris</v>
      </c>
      <c r="L292" s="5">
        <f t="shared" si="13"/>
        <v>35.4</v>
      </c>
      <c r="M292" s="7">
        <f t="shared" si="14"/>
        <v>42834</v>
      </c>
      <c r="N292" s="7"/>
      <c r="O292" s="7"/>
    </row>
    <row r="293" spans="1:15" x14ac:dyDescent="0.25">
      <c r="A293" t="s">
        <v>301</v>
      </c>
      <c r="B293" t="s">
        <v>28</v>
      </c>
      <c r="C293" t="s">
        <v>2</v>
      </c>
      <c r="D293">
        <v>9</v>
      </c>
      <c r="E293">
        <v>30000</v>
      </c>
      <c r="F293">
        <v>51.024383027481001</v>
      </c>
      <c r="G293">
        <v>-61.862945272405</v>
      </c>
      <c r="H293">
        <v>2954</v>
      </c>
      <c r="I293">
        <v>397</v>
      </c>
      <c r="J293">
        <v>128</v>
      </c>
      <c r="K293" t="str">
        <f t="shared" si="12"/>
        <v>New York → Tokyo</v>
      </c>
      <c r="L293" s="5">
        <f t="shared" si="13"/>
        <v>44.111111111111114</v>
      </c>
      <c r="M293" s="7">
        <f t="shared" si="14"/>
        <v>50816</v>
      </c>
      <c r="N293" s="7"/>
      <c r="O293" s="7"/>
    </row>
    <row r="294" spans="1:15" x14ac:dyDescent="0.25">
      <c r="A294" t="s">
        <v>302</v>
      </c>
      <c r="B294" t="s">
        <v>28</v>
      </c>
      <c r="C294" t="s">
        <v>20</v>
      </c>
      <c r="D294">
        <v>11</v>
      </c>
      <c r="E294">
        <v>30000</v>
      </c>
      <c r="F294">
        <v>61.732493520194502</v>
      </c>
      <c r="G294">
        <v>42.831170531566599</v>
      </c>
      <c r="H294">
        <v>2588</v>
      </c>
      <c r="I294">
        <v>402</v>
      </c>
      <c r="J294">
        <v>134</v>
      </c>
      <c r="K294" t="str">
        <f t="shared" si="12"/>
        <v>New York → Dubai</v>
      </c>
      <c r="L294" s="5">
        <f t="shared" si="13"/>
        <v>36.545454545454547</v>
      </c>
      <c r="M294" s="7">
        <f t="shared" si="14"/>
        <v>53868</v>
      </c>
      <c r="N294" s="7"/>
      <c r="O294" s="7"/>
    </row>
    <row r="295" spans="1:15" x14ac:dyDescent="0.25">
      <c r="A295" t="s">
        <v>303</v>
      </c>
      <c r="B295" t="s">
        <v>1</v>
      </c>
      <c r="C295" t="s">
        <v>13</v>
      </c>
      <c r="D295">
        <v>12</v>
      </c>
      <c r="E295">
        <v>30000</v>
      </c>
      <c r="F295">
        <v>47.621575309550302</v>
      </c>
      <c r="G295">
        <v>-25.1145890745203</v>
      </c>
      <c r="H295">
        <v>2000</v>
      </c>
      <c r="I295">
        <v>300</v>
      </c>
      <c r="J295">
        <v>100</v>
      </c>
      <c r="K295" t="str">
        <f t="shared" si="12"/>
        <v>Houston → Paris</v>
      </c>
      <c r="L295" s="5">
        <f t="shared" si="13"/>
        <v>25</v>
      </c>
      <c r="M295" s="7">
        <f t="shared" si="14"/>
        <v>30000</v>
      </c>
      <c r="N295" s="7"/>
      <c r="O295" s="7"/>
    </row>
    <row r="296" spans="1:15" x14ac:dyDescent="0.25">
      <c r="A296" t="s">
        <v>304</v>
      </c>
      <c r="B296" t="s">
        <v>1</v>
      </c>
      <c r="C296" t="s">
        <v>20</v>
      </c>
      <c r="D296">
        <v>8</v>
      </c>
      <c r="E296">
        <v>30000</v>
      </c>
      <c r="F296">
        <v>-108.362829974603</v>
      </c>
      <c r="G296">
        <v>30.8287485412439</v>
      </c>
      <c r="H296">
        <v>2500</v>
      </c>
      <c r="I296">
        <v>402</v>
      </c>
      <c r="J296">
        <v>111</v>
      </c>
      <c r="K296" t="str">
        <f t="shared" si="12"/>
        <v>Houston → Dubai</v>
      </c>
      <c r="L296" s="5">
        <f t="shared" si="13"/>
        <v>50.25</v>
      </c>
      <c r="M296" s="7">
        <f t="shared" si="14"/>
        <v>44622</v>
      </c>
      <c r="N296" s="7"/>
      <c r="O296" s="7"/>
    </row>
    <row r="297" spans="1:15" x14ac:dyDescent="0.25">
      <c r="A297" t="s">
        <v>305</v>
      </c>
      <c r="B297" t="s">
        <v>4</v>
      </c>
      <c r="C297" t="s">
        <v>13</v>
      </c>
      <c r="D297">
        <v>9</v>
      </c>
      <c r="E297">
        <v>35000</v>
      </c>
      <c r="F297">
        <v>-29.399808923179201</v>
      </c>
      <c r="G297">
        <v>-41.284090443282203</v>
      </c>
      <c r="H297">
        <v>2500</v>
      </c>
      <c r="I297">
        <v>600</v>
      </c>
      <c r="J297">
        <v>150</v>
      </c>
      <c r="K297" t="str">
        <f t="shared" si="12"/>
        <v>Miami → Paris</v>
      </c>
      <c r="L297" s="5">
        <f t="shared" si="13"/>
        <v>66.666666666666671</v>
      </c>
      <c r="M297" s="7">
        <f t="shared" si="14"/>
        <v>90000</v>
      </c>
      <c r="N297" s="7"/>
      <c r="O297" s="7"/>
    </row>
    <row r="298" spans="1:15" x14ac:dyDescent="0.25">
      <c r="A298" t="s">
        <v>306</v>
      </c>
      <c r="B298" t="s">
        <v>4</v>
      </c>
      <c r="C298" t="s">
        <v>15</v>
      </c>
      <c r="D298">
        <v>8</v>
      </c>
      <c r="E298">
        <v>30000</v>
      </c>
      <c r="F298">
        <v>90.338327410794605</v>
      </c>
      <c r="G298">
        <v>-75.378665734798901</v>
      </c>
      <c r="H298">
        <v>2615</v>
      </c>
      <c r="I298">
        <v>374</v>
      </c>
      <c r="J298">
        <v>121</v>
      </c>
      <c r="K298" t="str">
        <f t="shared" si="12"/>
        <v>Miami → London</v>
      </c>
      <c r="L298" s="5">
        <f t="shared" si="13"/>
        <v>46.75</v>
      </c>
      <c r="M298" s="7">
        <f t="shared" si="14"/>
        <v>45254</v>
      </c>
      <c r="N298" s="7"/>
      <c r="O298" s="7"/>
    </row>
    <row r="299" spans="1:15" x14ac:dyDescent="0.25">
      <c r="A299" t="s">
        <v>307</v>
      </c>
      <c r="B299" t="s">
        <v>6</v>
      </c>
      <c r="C299" t="s">
        <v>20</v>
      </c>
      <c r="D299">
        <v>15</v>
      </c>
      <c r="E299">
        <v>35000</v>
      </c>
      <c r="F299">
        <v>-143.505756880863</v>
      </c>
      <c r="G299">
        <v>88.664723187797406</v>
      </c>
      <c r="H299">
        <v>2000</v>
      </c>
      <c r="I299">
        <v>600</v>
      </c>
      <c r="J299">
        <v>114</v>
      </c>
      <c r="K299" t="str">
        <f t="shared" si="12"/>
        <v>Chicago → Dubai</v>
      </c>
      <c r="L299" s="5">
        <f t="shared" si="13"/>
        <v>40</v>
      </c>
      <c r="M299" s="7">
        <f t="shared" si="14"/>
        <v>68400</v>
      </c>
      <c r="N299" s="7"/>
      <c r="O299" s="7"/>
    </row>
    <row r="300" spans="1:15" x14ac:dyDescent="0.25">
      <c r="A300" t="s">
        <v>308</v>
      </c>
      <c r="B300" t="s">
        <v>1</v>
      </c>
      <c r="C300" t="s">
        <v>2</v>
      </c>
      <c r="D300">
        <v>10</v>
      </c>
      <c r="E300">
        <v>30000</v>
      </c>
      <c r="F300">
        <v>-79.973000607703597</v>
      </c>
      <c r="G300">
        <v>-61.883728572492103</v>
      </c>
      <c r="H300">
        <v>2550</v>
      </c>
      <c r="I300">
        <v>397</v>
      </c>
      <c r="J300">
        <v>120</v>
      </c>
      <c r="K300" t="str">
        <f t="shared" si="12"/>
        <v>Houston → Tokyo</v>
      </c>
      <c r="L300" s="5">
        <f t="shared" si="13"/>
        <v>39.700000000000003</v>
      </c>
      <c r="M300" s="7">
        <f t="shared" si="14"/>
        <v>47640</v>
      </c>
      <c r="N300" s="7"/>
      <c r="O300" s="7"/>
    </row>
    <row r="301" spans="1:15" x14ac:dyDescent="0.25">
      <c r="A301" t="s">
        <v>309</v>
      </c>
      <c r="B301" t="s">
        <v>28</v>
      </c>
      <c r="C301" t="s">
        <v>2</v>
      </c>
      <c r="D301">
        <v>9</v>
      </c>
      <c r="E301">
        <v>30000</v>
      </c>
      <c r="F301">
        <v>-80.525120952292696</v>
      </c>
      <c r="G301">
        <v>87.915778913426607</v>
      </c>
      <c r="H301">
        <v>2954</v>
      </c>
      <c r="I301">
        <v>397</v>
      </c>
      <c r="J301">
        <v>128</v>
      </c>
      <c r="K301" t="str">
        <f t="shared" si="12"/>
        <v>New York → Tokyo</v>
      </c>
      <c r="L301" s="5">
        <f t="shared" si="13"/>
        <v>44.111111111111114</v>
      </c>
      <c r="M301" s="7">
        <f t="shared" si="14"/>
        <v>50816</v>
      </c>
      <c r="N301" s="7"/>
      <c r="O301" s="7"/>
    </row>
    <row r="302" spans="1:15" x14ac:dyDescent="0.25">
      <c r="A302" t="s">
        <v>310</v>
      </c>
      <c r="B302" t="s">
        <v>4</v>
      </c>
      <c r="C302" t="s">
        <v>9</v>
      </c>
      <c r="D302">
        <v>10</v>
      </c>
      <c r="E302">
        <v>30000</v>
      </c>
      <c r="F302">
        <v>-24.473186065977799</v>
      </c>
      <c r="G302">
        <v>85.910387861960501</v>
      </c>
      <c r="H302">
        <v>2931</v>
      </c>
      <c r="I302">
        <v>356</v>
      </c>
      <c r="J302">
        <v>105</v>
      </c>
      <c r="K302" t="str">
        <f t="shared" si="12"/>
        <v>Miami → Sydney</v>
      </c>
      <c r="L302" s="5">
        <f t="shared" si="13"/>
        <v>35.6</v>
      </c>
      <c r="M302" s="7">
        <f t="shared" si="14"/>
        <v>37380</v>
      </c>
      <c r="N302" s="7"/>
      <c r="O302" s="7"/>
    </row>
    <row r="303" spans="1:15" x14ac:dyDescent="0.25">
      <c r="A303" t="s">
        <v>311</v>
      </c>
      <c r="B303" t="s">
        <v>4</v>
      </c>
      <c r="C303" t="s">
        <v>13</v>
      </c>
      <c r="D303">
        <v>7</v>
      </c>
      <c r="E303">
        <v>35000</v>
      </c>
      <c r="F303">
        <v>172.932746739187</v>
      </c>
      <c r="G303">
        <v>52.887258703447202</v>
      </c>
      <c r="H303">
        <v>2500</v>
      </c>
      <c r="I303">
        <v>300</v>
      </c>
      <c r="J303">
        <v>115</v>
      </c>
      <c r="K303" t="str">
        <f t="shared" si="12"/>
        <v>Miami → Paris</v>
      </c>
      <c r="L303" s="5">
        <f t="shared" si="13"/>
        <v>42.857142857142854</v>
      </c>
      <c r="M303" s="7">
        <f t="shared" si="14"/>
        <v>34500</v>
      </c>
      <c r="N303" s="7"/>
      <c r="O303" s="7"/>
    </row>
    <row r="304" spans="1:15" x14ac:dyDescent="0.25">
      <c r="A304" t="s">
        <v>312</v>
      </c>
      <c r="B304" t="s">
        <v>28</v>
      </c>
      <c r="C304" t="s">
        <v>20</v>
      </c>
      <c r="D304">
        <v>11</v>
      </c>
      <c r="E304">
        <v>30000</v>
      </c>
      <c r="F304">
        <v>-155.69908319382401</v>
      </c>
      <c r="G304">
        <v>28.696133174759598</v>
      </c>
      <c r="H304">
        <v>2588</v>
      </c>
      <c r="I304">
        <v>402</v>
      </c>
      <c r="J304">
        <v>134</v>
      </c>
      <c r="K304" t="str">
        <f t="shared" si="12"/>
        <v>New York → Dubai</v>
      </c>
      <c r="L304" s="5">
        <f t="shared" si="13"/>
        <v>36.545454545454547</v>
      </c>
      <c r="M304" s="7">
        <f t="shared" si="14"/>
        <v>53868</v>
      </c>
      <c r="N304" s="7"/>
      <c r="O304" s="7"/>
    </row>
    <row r="305" spans="1:15" x14ac:dyDescent="0.25">
      <c r="A305" t="s">
        <v>313</v>
      </c>
      <c r="B305" t="s">
        <v>4</v>
      </c>
      <c r="C305" t="s">
        <v>9</v>
      </c>
      <c r="D305">
        <v>7</v>
      </c>
      <c r="E305">
        <v>32000</v>
      </c>
      <c r="F305">
        <v>6.7323579770141997</v>
      </c>
      <c r="G305">
        <v>14.0052690451953</v>
      </c>
      <c r="H305">
        <v>3500</v>
      </c>
      <c r="I305">
        <v>300</v>
      </c>
      <c r="J305">
        <v>105</v>
      </c>
      <c r="K305" t="str">
        <f t="shared" si="12"/>
        <v>Miami → Sydney</v>
      </c>
      <c r="L305" s="5">
        <f t="shared" si="13"/>
        <v>42.857142857142854</v>
      </c>
      <c r="M305" s="7">
        <f t="shared" si="14"/>
        <v>31500</v>
      </c>
      <c r="N305" s="7"/>
      <c r="O305" s="7"/>
    </row>
    <row r="306" spans="1:15" x14ac:dyDescent="0.25">
      <c r="A306" t="s">
        <v>314</v>
      </c>
      <c r="B306" t="s">
        <v>6</v>
      </c>
      <c r="C306" t="s">
        <v>20</v>
      </c>
      <c r="D306">
        <v>15</v>
      </c>
      <c r="E306">
        <v>30000</v>
      </c>
      <c r="F306">
        <v>-115.428714475604</v>
      </c>
      <c r="G306">
        <v>65.898278168010293</v>
      </c>
      <c r="H306">
        <v>3500</v>
      </c>
      <c r="I306">
        <v>450</v>
      </c>
      <c r="J306">
        <v>50</v>
      </c>
      <c r="K306" t="str">
        <f t="shared" si="12"/>
        <v>Chicago → Dubai</v>
      </c>
      <c r="L306" s="5">
        <f t="shared" si="13"/>
        <v>30</v>
      </c>
      <c r="M306" s="7">
        <f t="shared" si="14"/>
        <v>22500</v>
      </c>
      <c r="N306" s="7"/>
      <c r="O306" s="7"/>
    </row>
    <row r="307" spans="1:15" x14ac:dyDescent="0.25">
      <c r="A307" t="s">
        <v>315</v>
      </c>
      <c r="B307" t="s">
        <v>1</v>
      </c>
      <c r="C307" t="s">
        <v>13</v>
      </c>
      <c r="D307">
        <v>9</v>
      </c>
      <c r="E307">
        <v>30000</v>
      </c>
      <c r="F307">
        <v>169.44355634750801</v>
      </c>
      <c r="G307">
        <v>-37.900886108492202</v>
      </c>
      <c r="H307">
        <v>2647</v>
      </c>
      <c r="I307">
        <v>354</v>
      </c>
      <c r="J307">
        <v>113</v>
      </c>
      <c r="K307" t="str">
        <f t="shared" si="12"/>
        <v>Houston → Paris</v>
      </c>
      <c r="L307" s="5">
        <f t="shared" si="13"/>
        <v>39.333333333333336</v>
      </c>
      <c r="M307" s="7">
        <f t="shared" si="14"/>
        <v>40002</v>
      </c>
      <c r="N307" s="7"/>
      <c r="O307" s="7"/>
    </row>
    <row r="308" spans="1:15" x14ac:dyDescent="0.25">
      <c r="A308" t="s">
        <v>316</v>
      </c>
      <c r="B308" t="s">
        <v>28</v>
      </c>
      <c r="C308" t="s">
        <v>2</v>
      </c>
      <c r="D308">
        <v>9</v>
      </c>
      <c r="E308">
        <v>30000</v>
      </c>
      <c r="F308">
        <v>-139.210738298113</v>
      </c>
      <c r="G308">
        <v>-5.8173817527221301</v>
      </c>
      <c r="H308">
        <v>2954</v>
      </c>
      <c r="I308">
        <v>397</v>
      </c>
      <c r="J308">
        <v>128</v>
      </c>
      <c r="K308" t="str">
        <f t="shared" si="12"/>
        <v>New York → Tokyo</v>
      </c>
      <c r="L308" s="5">
        <f t="shared" si="13"/>
        <v>44.111111111111114</v>
      </c>
      <c r="M308" s="7">
        <f t="shared" si="14"/>
        <v>50816</v>
      </c>
      <c r="N308" s="7"/>
      <c r="O308" s="7"/>
    </row>
    <row r="309" spans="1:15" x14ac:dyDescent="0.25">
      <c r="A309" t="s">
        <v>317</v>
      </c>
      <c r="B309" t="s">
        <v>1</v>
      </c>
      <c r="C309" t="s">
        <v>15</v>
      </c>
      <c r="D309">
        <v>8</v>
      </c>
      <c r="E309">
        <v>30000</v>
      </c>
      <c r="F309">
        <v>-34.703639149827097</v>
      </c>
      <c r="G309">
        <v>21.490194485970299</v>
      </c>
      <c r="H309">
        <v>2846</v>
      </c>
      <c r="I309">
        <v>374</v>
      </c>
      <c r="J309">
        <v>138</v>
      </c>
      <c r="K309" t="str">
        <f t="shared" si="12"/>
        <v>Houston → London</v>
      </c>
      <c r="L309" s="5">
        <f t="shared" si="13"/>
        <v>46.75</v>
      </c>
      <c r="M309" s="7">
        <f t="shared" si="14"/>
        <v>51612</v>
      </c>
      <c r="N309" s="7"/>
      <c r="O309" s="7"/>
    </row>
    <row r="310" spans="1:15" x14ac:dyDescent="0.25">
      <c r="A310" t="s">
        <v>318</v>
      </c>
      <c r="B310" t="s">
        <v>4</v>
      </c>
      <c r="C310" t="s">
        <v>2</v>
      </c>
      <c r="D310">
        <v>5</v>
      </c>
      <c r="E310">
        <v>35000</v>
      </c>
      <c r="F310">
        <v>85.6385945404582</v>
      </c>
      <c r="G310">
        <v>-15.985714343491599</v>
      </c>
      <c r="H310">
        <v>2729</v>
      </c>
      <c r="I310">
        <v>300</v>
      </c>
      <c r="J310">
        <v>200</v>
      </c>
      <c r="K310" t="str">
        <f t="shared" si="12"/>
        <v>Miami → Tokyo</v>
      </c>
      <c r="L310" s="5">
        <f t="shared" si="13"/>
        <v>60</v>
      </c>
      <c r="M310" s="7">
        <f t="shared" si="14"/>
        <v>60000</v>
      </c>
      <c r="N310" s="7"/>
      <c r="O310" s="7"/>
    </row>
    <row r="311" spans="1:15" x14ac:dyDescent="0.25">
      <c r="A311" t="s">
        <v>319</v>
      </c>
      <c r="B311" t="s">
        <v>4</v>
      </c>
      <c r="C311" t="s">
        <v>9</v>
      </c>
      <c r="D311">
        <v>10</v>
      </c>
      <c r="E311">
        <v>30000</v>
      </c>
      <c r="F311">
        <v>73.639594089880305</v>
      </c>
      <c r="G311">
        <v>-13.052438263751799</v>
      </c>
      <c r="H311">
        <v>2931</v>
      </c>
      <c r="I311">
        <v>356</v>
      </c>
      <c r="J311">
        <v>105</v>
      </c>
      <c r="K311" t="str">
        <f t="shared" si="12"/>
        <v>Miami → Sydney</v>
      </c>
      <c r="L311" s="5">
        <f t="shared" si="13"/>
        <v>35.6</v>
      </c>
      <c r="M311" s="7">
        <f t="shared" si="14"/>
        <v>37380</v>
      </c>
      <c r="N311" s="7"/>
      <c r="O311" s="7"/>
    </row>
    <row r="312" spans="1:15" x14ac:dyDescent="0.25">
      <c r="A312" t="s">
        <v>320</v>
      </c>
      <c r="B312" t="s">
        <v>28</v>
      </c>
      <c r="C312" t="s">
        <v>15</v>
      </c>
      <c r="D312">
        <v>9</v>
      </c>
      <c r="E312">
        <v>30000</v>
      </c>
      <c r="F312">
        <v>-27.817690718184402</v>
      </c>
      <c r="G312">
        <v>-30.548759849624801</v>
      </c>
      <c r="H312">
        <v>2760</v>
      </c>
      <c r="I312">
        <v>374</v>
      </c>
      <c r="J312">
        <v>107</v>
      </c>
      <c r="K312" t="str">
        <f t="shared" si="12"/>
        <v>New York → London</v>
      </c>
      <c r="L312" s="5">
        <f t="shared" si="13"/>
        <v>41.555555555555557</v>
      </c>
      <c r="M312" s="7">
        <f t="shared" si="14"/>
        <v>40018</v>
      </c>
      <c r="N312" s="7"/>
      <c r="O312" s="7"/>
    </row>
    <row r="313" spans="1:15" x14ac:dyDescent="0.25">
      <c r="A313" t="s">
        <v>321</v>
      </c>
      <c r="B313" t="s">
        <v>6</v>
      </c>
      <c r="C313" t="s">
        <v>9</v>
      </c>
      <c r="D313">
        <v>9</v>
      </c>
      <c r="E313">
        <v>30000</v>
      </c>
      <c r="F313">
        <v>-55.251299537021403</v>
      </c>
      <c r="G313">
        <v>11.5617270032165</v>
      </c>
      <c r="H313">
        <v>2678</v>
      </c>
      <c r="I313">
        <v>356</v>
      </c>
      <c r="J313">
        <v>137</v>
      </c>
      <c r="K313" t="str">
        <f t="shared" si="12"/>
        <v>Chicago → Sydney</v>
      </c>
      <c r="L313" s="5">
        <f t="shared" si="13"/>
        <v>39.555555555555557</v>
      </c>
      <c r="M313" s="7">
        <f t="shared" si="14"/>
        <v>48772</v>
      </c>
      <c r="N313" s="7"/>
      <c r="O313" s="7"/>
    </row>
    <row r="314" spans="1:15" x14ac:dyDescent="0.25">
      <c r="A314" t="s">
        <v>322</v>
      </c>
      <c r="B314" t="s">
        <v>11</v>
      </c>
      <c r="C314" t="s">
        <v>13</v>
      </c>
      <c r="D314">
        <v>8</v>
      </c>
      <c r="E314">
        <v>30000</v>
      </c>
      <c r="F314">
        <v>-36.859543720966599</v>
      </c>
      <c r="G314">
        <v>63.103415042720897</v>
      </c>
      <c r="H314">
        <v>2882</v>
      </c>
      <c r="I314">
        <v>354</v>
      </c>
      <c r="J314">
        <v>125</v>
      </c>
      <c r="K314" t="str">
        <f t="shared" si="12"/>
        <v>Los Angeles → Paris</v>
      </c>
      <c r="L314" s="5">
        <f t="shared" si="13"/>
        <v>44.25</v>
      </c>
      <c r="M314" s="7">
        <f t="shared" si="14"/>
        <v>44250</v>
      </c>
      <c r="N314" s="7"/>
      <c r="O314" s="7"/>
    </row>
    <row r="315" spans="1:15" x14ac:dyDescent="0.25">
      <c r="A315" t="s">
        <v>323</v>
      </c>
      <c r="B315" t="s">
        <v>28</v>
      </c>
      <c r="C315" t="s">
        <v>15</v>
      </c>
      <c r="D315">
        <v>15</v>
      </c>
      <c r="E315">
        <v>35000</v>
      </c>
      <c r="F315">
        <v>-84.8605452628899</v>
      </c>
      <c r="G315">
        <v>-53.724891958863701</v>
      </c>
      <c r="H315">
        <v>3500</v>
      </c>
      <c r="I315">
        <v>600</v>
      </c>
      <c r="J315">
        <v>50</v>
      </c>
      <c r="K315" t="str">
        <f t="shared" si="12"/>
        <v>New York → London</v>
      </c>
      <c r="L315" s="5">
        <f t="shared" si="13"/>
        <v>40</v>
      </c>
      <c r="M315" s="7">
        <f t="shared" si="14"/>
        <v>30000</v>
      </c>
      <c r="N315" s="7"/>
      <c r="O315" s="7"/>
    </row>
    <row r="316" spans="1:15" x14ac:dyDescent="0.25">
      <c r="A316" t="s">
        <v>324</v>
      </c>
      <c r="B316" t="s">
        <v>11</v>
      </c>
      <c r="C316" t="s">
        <v>9</v>
      </c>
      <c r="D316">
        <v>8</v>
      </c>
      <c r="E316">
        <v>30000</v>
      </c>
      <c r="F316">
        <v>-106.080142065552</v>
      </c>
      <c r="G316">
        <v>78.197946975619502</v>
      </c>
      <c r="H316">
        <v>3000</v>
      </c>
      <c r="I316">
        <v>356</v>
      </c>
      <c r="J316">
        <v>145</v>
      </c>
      <c r="K316" t="str">
        <f t="shared" si="12"/>
        <v>Los Angeles → Sydney</v>
      </c>
      <c r="L316" s="5">
        <f t="shared" si="13"/>
        <v>44.5</v>
      </c>
      <c r="M316" s="7">
        <f t="shared" si="14"/>
        <v>51620</v>
      </c>
      <c r="N316" s="7"/>
      <c r="O316" s="7"/>
    </row>
    <row r="317" spans="1:15" x14ac:dyDescent="0.25">
      <c r="A317" t="s">
        <v>325</v>
      </c>
      <c r="B317" t="s">
        <v>11</v>
      </c>
      <c r="C317" t="s">
        <v>13</v>
      </c>
      <c r="D317">
        <v>7</v>
      </c>
      <c r="E317">
        <v>30000</v>
      </c>
      <c r="F317">
        <v>-6.1057088787996197</v>
      </c>
      <c r="G317">
        <v>34.035777674681299</v>
      </c>
      <c r="H317">
        <v>3000</v>
      </c>
      <c r="I317">
        <v>150</v>
      </c>
      <c r="J317">
        <v>200</v>
      </c>
      <c r="K317" t="str">
        <f t="shared" si="12"/>
        <v>Los Angeles → Paris</v>
      </c>
      <c r="L317" s="5">
        <f t="shared" si="13"/>
        <v>21.428571428571427</v>
      </c>
      <c r="M317" s="7">
        <f t="shared" si="14"/>
        <v>30000</v>
      </c>
      <c r="N317" s="7"/>
      <c r="O317" s="7"/>
    </row>
    <row r="318" spans="1:15" x14ac:dyDescent="0.25">
      <c r="A318" t="s">
        <v>326</v>
      </c>
      <c r="B318" t="s">
        <v>6</v>
      </c>
      <c r="C318" t="s">
        <v>2</v>
      </c>
      <c r="D318">
        <v>8</v>
      </c>
      <c r="E318">
        <v>30000</v>
      </c>
      <c r="F318">
        <v>-83.3278478156614</v>
      </c>
      <c r="G318">
        <v>58.1891782824054</v>
      </c>
      <c r="H318">
        <v>2583</v>
      </c>
      <c r="I318">
        <v>397</v>
      </c>
      <c r="J318">
        <v>133</v>
      </c>
      <c r="K318" t="str">
        <f t="shared" si="12"/>
        <v>Chicago → Tokyo</v>
      </c>
      <c r="L318" s="5">
        <f t="shared" si="13"/>
        <v>49.625</v>
      </c>
      <c r="M318" s="7">
        <f t="shared" si="14"/>
        <v>52801</v>
      </c>
      <c r="N318" s="7"/>
      <c r="O318" s="7"/>
    </row>
    <row r="319" spans="1:15" x14ac:dyDescent="0.25">
      <c r="A319" t="s">
        <v>327</v>
      </c>
      <c r="B319" t="s">
        <v>11</v>
      </c>
      <c r="C319" t="s">
        <v>13</v>
      </c>
      <c r="D319">
        <v>7</v>
      </c>
      <c r="E319">
        <v>30000</v>
      </c>
      <c r="F319">
        <v>-76.513800636989998</v>
      </c>
      <c r="G319">
        <v>10.1143246734021</v>
      </c>
      <c r="H319">
        <v>2500</v>
      </c>
      <c r="I319">
        <v>354</v>
      </c>
      <c r="J319">
        <v>200</v>
      </c>
      <c r="K319" t="str">
        <f t="shared" si="12"/>
        <v>Los Angeles → Paris</v>
      </c>
      <c r="L319" s="5">
        <f t="shared" si="13"/>
        <v>50.571428571428569</v>
      </c>
      <c r="M319" s="7">
        <f t="shared" si="14"/>
        <v>70800</v>
      </c>
      <c r="N319" s="7"/>
      <c r="O319" s="7"/>
    </row>
    <row r="320" spans="1:15" x14ac:dyDescent="0.25">
      <c r="A320" t="s">
        <v>328</v>
      </c>
      <c r="B320" t="s">
        <v>11</v>
      </c>
      <c r="C320" t="s">
        <v>20</v>
      </c>
      <c r="D320">
        <v>11</v>
      </c>
      <c r="E320">
        <v>30000</v>
      </c>
      <c r="F320">
        <v>56.432182850840498</v>
      </c>
      <c r="G320">
        <v>50.313006256331398</v>
      </c>
      <c r="H320">
        <v>2794</v>
      </c>
      <c r="I320">
        <v>402</v>
      </c>
      <c r="J320">
        <v>113</v>
      </c>
      <c r="K320" t="str">
        <f t="shared" si="12"/>
        <v>Los Angeles → Dubai</v>
      </c>
      <c r="L320" s="5">
        <f t="shared" si="13"/>
        <v>36.545454545454547</v>
      </c>
      <c r="M320" s="7">
        <f t="shared" si="14"/>
        <v>45426</v>
      </c>
      <c r="N320" s="7"/>
      <c r="O320" s="7"/>
    </row>
    <row r="321" spans="1:15" x14ac:dyDescent="0.25">
      <c r="A321" t="s">
        <v>329</v>
      </c>
      <c r="B321" t="s">
        <v>6</v>
      </c>
      <c r="C321" t="s">
        <v>13</v>
      </c>
      <c r="D321">
        <v>10</v>
      </c>
      <c r="E321">
        <v>30000</v>
      </c>
      <c r="F321">
        <v>168.673439411961</v>
      </c>
      <c r="G321">
        <v>-87.083928478895899</v>
      </c>
      <c r="H321">
        <v>2928</v>
      </c>
      <c r="I321">
        <v>354</v>
      </c>
      <c r="J321">
        <v>121</v>
      </c>
      <c r="K321" t="str">
        <f t="shared" si="12"/>
        <v>Chicago → Paris</v>
      </c>
      <c r="L321" s="5">
        <f t="shared" si="13"/>
        <v>35.4</v>
      </c>
      <c r="M321" s="7">
        <f t="shared" si="14"/>
        <v>42834</v>
      </c>
      <c r="N321" s="7"/>
      <c r="O321" s="7"/>
    </row>
    <row r="322" spans="1:15" x14ac:dyDescent="0.25">
      <c r="A322" t="s">
        <v>330</v>
      </c>
      <c r="B322" t="s">
        <v>11</v>
      </c>
      <c r="C322" t="s">
        <v>13</v>
      </c>
      <c r="D322">
        <v>12</v>
      </c>
      <c r="E322">
        <v>30000</v>
      </c>
      <c r="F322">
        <v>37.309392201374997</v>
      </c>
      <c r="G322">
        <v>57.308476460316299</v>
      </c>
      <c r="H322">
        <v>2500</v>
      </c>
      <c r="I322">
        <v>150</v>
      </c>
      <c r="J322">
        <v>200</v>
      </c>
      <c r="K322" t="str">
        <f t="shared" si="12"/>
        <v>Los Angeles → Paris</v>
      </c>
      <c r="L322" s="5">
        <f t="shared" si="13"/>
        <v>12.5</v>
      </c>
      <c r="M322" s="7">
        <f t="shared" si="14"/>
        <v>30000</v>
      </c>
      <c r="N322" s="7"/>
      <c r="O322" s="7"/>
    </row>
    <row r="323" spans="1:15" x14ac:dyDescent="0.25">
      <c r="A323" t="s">
        <v>331</v>
      </c>
      <c r="B323" t="s">
        <v>11</v>
      </c>
      <c r="C323" t="s">
        <v>20</v>
      </c>
      <c r="D323">
        <v>11</v>
      </c>
      <c r="E323">
        <v>30000</v>
      </c>
      <c r="F323">
        <v>-152.287391856612</v>
      </c>
      <c r="G323">
        <v>-82.775005364633998</v>
      </c>
      <c r="H323">
        <v>2794</v>
      </c>
      <c r="I323">
        <v>402</v>
      </c>
      <c r="J323">
        <v>113</v>
      </c>
      <c r="K323" t="str">
        <f t="shared" ref="K323:K386" si="15">B323 &amp; " → " &amp; C323</f>
        <v>Los Angeles → Dubai</v>
      </c>
      <c r="L323" s="5">
        <f t="shared" ref="L323:L386" si="16">I323/D323</f>
        <v>36.545454545454547</v>
      </c>
      <c r="M323" s="7">
        <f t="shared" ref="M323:M386" si="17">I323*J323</f>
        <v>45426</v>
      </c>
      <c r="N323" s="7"/>
      <c r="O323" s="7"/>
    </row>
    <row r="324" spans="1:15" x14ac:dyDescent="0.25">
      <c r="A324" t="s">
        <v>332</v>
      </c>
      <c r="B324" t="s">
        <v>11</v>
      </c>
      <c r="C324" t="s">
        <v>9</v>
      </c>
      <c r="D324">
        <v>7</v>
      </c>
      <c r="E324">
        <v>30000</v>
      </c>
      <c r="F324">
        <v>-152.78989901253601</v>
      </c>
      <c r="G324">
        <v>70.184407745315198</v>
      </c>
      <c r="H324">
        <v>3000</v>
      </c>
      <c r="I324">
        <v>356</v>
      </c>
      <c r="J324">
        <v>200</v>
      </c>
      <c r="K324" t="str">
        <f t="shared" si="15"/>
        <v>Los Angeles → Sydney</v>
      </c>
      <c r="L324" s="5">
        <f t="shared" si="16"/>
        <v>50.857142857142854</v>
      </c>
      <c r="M324" s="7">
        <f t="shared" si="17"/>
        <v>71200</v>
      </c>
      <c r="N324" s="7"/>
      <c r="O324" s="7"/>
    </row>
    <row r="325" spans="1:15" x14ac:dyDescent="0.25">
      <c r="A325" t="s">
        <v>333</v>
      </c>
      <c r="B325" t="s">
        <v>28</v>
      </c>
      <c r="C325" t="s">
        <v>9</v>
      </c>
      <c r="D325">
        <v>9</v>
      </c>
      <c r="E325">
        <v>30000</v>
      </c>
      <c r="F325">
        <v>162.512359504404</v>
      </c>
      <c r="G325">
        <v>88.553294502955794</v>
      </c>
      <c r="H325">
        <v>2800</v>
      </c>
      <c r="I325">
        <v>356</v>
      </c>
      <c r="J325">
        <v>120</v>
      </c>
      <c r="K325" t="str">
        <f t="shared" si="15"/>
        <v>New York → Sydney</v>
      </c>
      <c r="L325" s="5">
        <f t="shared" si="16"/>
        <v>39.555555555555557</v>
      </c>
      <c r="M325" s="7">
        <f t="shared" si="17"/>
        <v>42720</v>
      </c>
      <c r="N325" s="7"/>
      <c r="O325" s="7"/>
    </row>
    <row r="326" spans="1:15" x14ac:dyDescent="0.25">
      <c r="A326" t="s">
        <v>334</v>
      </c>
      <c r="B326" t="s">
        <v>28</v>
      </c>
      <c r="C326" t="s">
        <v>13</v>
      </c>
      <c r="D326">
        <v>9</v>
      </c>
      <c r="E326">
        <v>30000</v>
      </c>
      <c r="F326">
        <v>-72.9753154893599</v>
      </c>
      <c r="G326">
        <v>-37.067856808179997</v>
      </c>
      <c r="H326">
        <v>3500</v>
      </c>
      <c r="I326">
        <v>600</v>
      </c>
      <c r="J326">
        <v>50</v>
      </c>
      <c r="K326" t="str">
        <f t="shared" si="15"/>
        <v>New York → Paris</v>
      </c>
      <c r="L326" s="5">
        <f t="shared" si="16"/>
        <v>66.666666666666671</v>
      </c>
      <c r="M326" s="7">
        <f t="shared" si="17"/>
        <v>30000</v>
      </c>
      <c r="N326" s="7"/>
      <c r="O326" s="7"/>
    </row>
    <row r="327" spans="1:15" x14ac:dyDescent="0.25">
      <c r="A327" t="s">
        <v>335</v>
      </c>
      <c r="B327" t="s">
        <v>28</v>
      </c>
      <c r="C327" t="s">
        <v>20</v>
      </c>
      <c r="D327">
        <v>5</v>
      </c>
      <c r="E327">
        <v>32000</v>
      </c>
      <c r="F327">
        <v>-146.85588501030901</v>
      </c>
      <c r="G327">
        <v>-52.142659868557097</v>
      </c>
      <c r="H327">
        <v>2500</v>
      </c>
      <c r="I327">
        <v>300</v>
      </c>
      <c r="J327">
        <v>150</v>
      </c>
      <c r="K327" t="str">
        <f t="shared" si="15"/>
        <v>New York → Dubai</v>
      </c>
      <c r="L327" s="5">
        <f t="shared" si="16"/>
        <v>60</v>
      </c>
      <c r="M327" s="7">
        <f t="shared" si="17"/>
        <v>45000</v>
      </c>
      <c r="N327" s="7"/>
      <c r="O327" s="7"/>
    </row>
    <row r="328" spans="1:15" x14ac:dyDescent="0.25">
      <c r="A328" t="s">
        <v>336</v>
      </c>
      <c r="B328" t="s">
        <v>6</v>
      </c>
      <c r="C328" t="s">
        <v>20</v>
      </c>
      <c r="D328">
        <v>10</v>
      </c>
      <c r="E328">
        <v>30000</v>
      </c>
      <c r="F328">
        <v>35.656051374137299</v>
      </c>
      <c r="G328">
        <v>47.7654054944473</v>
      </c>
      <c r="H328">
        <v>2636</v>
      </c>
      <c r="I328">
        <v>402</v>
      </c>
      <c r="J328">
        <v>114</v>
      </c>
      <c r="K328" t="str">
        <f t="shared" si="15"/>
        <v>Chicago → Dubai</v>
      </c>
      <c r="L328" s="5">
        <f t="shared" si="16"/>
        <v>40.200000000000003</v>
      </c>
      <c r="M328" s="7">
        <f t="shared" si="17"/>
        <v>45828</v>
      </c>
      <c r="N328" s="7"/>
      <c r="O328" s="7"/>
    </row>
    <row r="329" spans="1:15" x14ac:dyDescent="0.25">
      <c r="A329" t="s">
        <v>337</v>
      </c>
      <c r="B329" t="s">
        <v>4</v>
      </c>
      <c r="C329" t="s">
        <v>2</v>
      </c>
      <c r="D329">
        <v>9</v>
      </c>
      <c r="E329">
        <v>30000</v>
      </c>
      <c r="F329">
        <v>44.513560184495802</v>
      </c>
      <c r="G329">
        <v>-44.455258634354401</v>
      </c>
      <c r="H329">
        <v>2729</v>
      </c>
      <c r="I329">
        <v>397</v>
      </c>
      <c r="J329">
        <v>126</v>
      </c>
      <c r="K329" t="str">
        <f t="shared" si="15"/>
        <v>Miami → Tokyo</v>
      </c>
      <c r="L329" s="5">
        <f t="shared" si="16"/>
        <v>44.111111111111114</v>
      </c>
      <c r="M329" s="7">
        <f t="shared" si="17"/>
        <v>50022</v>
      </c>
      <c r="N329" s="7"/>
      <c r="O329" s="7"/>
    </row>
    <row r="330" spans="1:15" x14ac:dyDescent="0.25">
      <c r="A330" t="s">
        <v>338</v>
      </c>
      <c r="B330" t="s">
        <v>11</v>
      </c>
      <c r="C330" t="s">
        <v>9</v>
      </c>
      <c r="D330">
        <v>8</v>
      </c>
      <c r="E330">
        <v>30000</v>
      </c>
      <c r="F330">
        <v>53.461735242727698</v>
      </c>
      <c r="G330">
        <v>65.801228970996604</v>
      </c>
      <c r="H330">
        <v>3000</v>
      </c>
      <c r="I330">
        <v>356</v>
      </c>
      <c r="J330">
        <v>145</v>
      </c>
      <c r="K330" t="str">
        <f t="shared" si="15"/>
        <v>Los Angeles → Sydney</v>
      </c>
      <c r="L330" s="5">
        <f t="shared" si="16"/>
        <v>44.5</v>
      </c>
      <c r="M330" s="7">
        <f t="shared" si="17"/>
        <v>51620</v>
      </c>
      <c r="N330" s="7"/>
      <c r="O330" s="7"/>
    </row>
    <row r="331" spans="1:15" x14ac:dyDescent="0.25">
      <c r="A331" t="s">
        <v>339</v>
      </c>
      <c r="B331" t="s">
        <v>11</v>
      </c>
      <c r="C331" t="s">
        <v>15</v>
      </c>
      <c r="D331">
        <v>9</v>
      </c>
      <c r="E331">
        <v>35000</v>
      </c>
      <c r="F331">
        <v>-83.735269971285106</v>
      </c>
      <c r="G331">
        <v>-71.488333411654196</v>
      </c>
      <c r="H331">
        <v>2760</v>
      </c>
      <c r="I331">
        <v>600</v>
      </c>
      <c r="J331">
        <v>100</v>
      </c>
      <c r="K331" t="str">
        <f t="shared" si="15"/>
        <v>Los Angeles → London</v>
      </c>
      <c r="L331" s="5">
        <f t="shared" si="16"/>
        <v>66.666666666666671</v>
      </c>
      <c r="M331" s="7">
        <f t="shared" si="17"/>
        <v>60000</v>
      </c>
      <c r="N331" s="7"/>
      <c r="O331" s="7"/>
    </row>
    <row r="332" spans="1:15" x14ac:dyDescent="0.25">
      <c r="A332" t="s">
        <v>340</v>
      </c>
      <c r="B332" t="s">
        <v>6</v>
      </c>
      <c r="C332" t="s">
        <v>9</v>
      </c>
      <c r="D332">
        <v>15</v>
      </c>
      <c r="E332">
        <v>35000</v>
      </c>
      <c r="F332">
        <v>-174.56015368278901</v>
      </c>
      <c r="G332">
        <v>-67.328064651715493</v>
      </c>
      <c r="H332">
        <v>3000</v>
      </c>
      <c r="I332">
        <v>450</v>
      </c>
      <c r="J332">
        <v>100</v>
      </c>
      <c r="K332" t="str">
        <f t="shared" si="15"/>
        <v>Chicago → Sydney</v>
      </c>
      <c r="L332" s="5">
        <f t="shared" si="16"/>
        <v>30</v>
      </c>
      <c r="M332" s="7">
        <f t="shared" si="17"/>
        <v>45000</v>
      </c>
      <c r="N332" s="7"/>
      <c r="O332" s="7"/>
    </row>
    <row r="333" spans="1:15" x14ac:dyDescent="0.25">
      <c r="A333" t="s">
        <v>341</v>
      </c>
      <c r="B333" t="s">
        <v>11</v>
      </c>
      <c r="C333" t="s">
        <v>9</v>
      </c>
      <c r="D333">
        <v>8</v>
      </c>
      <c r="E333">
        <v>30000</v>
      </c>
      <c r="F333">
        <v>167.40553300361</v>
      </c>
      <c r="G333">
        <v>86.247279918110806</v>
      </c>
      <c r="H333">
        <v>3000</v>
      </c>
      <c r="I333">
        <v>356</v>
      </c>
      <c r="J333">
        <v>145</v>
      </c>
      <c r="K333" t="str">
        <f t="shared" si="15"/>
        <v>Los Angeles → Sydney</v>
      </c>
      <c r="L333" s="5">
        <f t="shared" si="16"/>
        <v>44.5</v>
      </c>
      <c r="M333" s="7">
        <f t="shared" si="17"/>
        <v>51620</v>
      </c>
      <c r="N333" s="7"/>
      <c r="O333" s="7"/>
    </row>
    <row r="334" spans="1:15" x14ac:dyDescent="0.25">
      <c r="A334" t="s">
        <v>342</v>
      </c>
      <c r="B334" t="s">
        <v>28</v>
      </c>
      <c r="C334" t="s">
        <v>2</v>
      </c>
      <c r="D334">
        <v>9</v>
      </c>
      <c r="E334">
        <v>30000</v>
      </c>
      <c r="F334">
        <v>-89.678503551203093</v>
      </c>
      <c r="G334">
        <v>31.291001688600801</v>
      </c>
      <c r="H334">
        <v>2954</v>
      </c>
      <c r="I334">
        <v>397</v>
      </c>
      <c r="J334">
        <v>128</v>
      </c>
      <c r="K334" t="str">
        <f t="shared" si="15"/>
        <v>New York → Tokyo</v>
      </c>
      <c r="L334" s="5">
        <f t="shared" si="16"/>
        <v>44.111111111111114</v>
      </c>
      <c r="M334" s="7">
        <f t="shared" si="17"/>
        <v>50816</v>
      </c>
      <c r="N334" s="7"/>
      <c r="O334" s="7"/>
    </row>
    <row r="335" spans="1:15" x14ac:dyDescent="0.25">
      <c r="A335" t="s">
        <v>343</v>
      </c>
      <c r="B335" t="s">
        <v>4</v>
      </c>
      <c r="C335" t="s">
        <v>15</v>
      </c>
      <c r="D335">
        <v>8</v>
      </c>
      <c r="E335">
        <v>30000</v>
      </c>
      <c r="F335">
        <v>63.369463698917102</v>
      </c>
      <c r="G335">
        <v>62.439700397211503</v>
      </c>
      <c r="H335">
        <v>2615</v>
      </c>
      <c r="I335">
        <v>374</v>
      </c>
      <c r="J335">
        <v>121</v>
      </c>
      <c r="K335" t="str">
        <f t="shared" si="15"/>
        <v>Miami → London</v>
      </c>
      <c r="L335" s="5">
        <f t="shared" si="16"/>
        <v>46.75</v>
      </c>
      <c r="M335" s="7">
        <f t="shared" si="17"/>
        <v>45254</v>
      </c>
      <c r="N335" s="7"/>
      <c r="O335" s="7"/>
    </row>
    <row r="336" spans="1:15" x14ac:dyDescent="0.25">
      <c r="A336" t="s">
        <v>344</v>
      </c>
      <c r="B336" t="s">
        <v>1</v>
      </c>
      <c r="C336" t="s">
        <v>2</v>
      </c>
      <c r="D336">
        <v>10</v>
      </c>
      <c r="E336">
        <v>30000</v>
      </c>
      <c r="F336">
        <v>74.386753156335502</v>
      </c>
      <c r="G336">
        <v>-31.6207120767268</v>
      </c>
      <c r="H336">
        <v>2550</v>
      </c>
      <c r="I336">
        <v>397</v>
      </c>
      <c r="J336">
        <v>120</v>
      </c>
      <c r="K336" t="str">
        <f t="shared" si="15"/>
        <v>Houston → Tokyo</v>
      </c>
      <c r="L336" s="5">
        <f t="shared" si="16"/>
        <v>39.700000000000003</v>
      </c>
      <c r="M336" s="7">
        <f t="shared" si="17"/>
        <v>47640</v>
      </c>
      <c r="N336" s="7"/>
      <c r="O336" s="7"/>
    </row>
    <row r="337" spans="1:15" x14ac:dyDescent="0.25">
      <c r="A337" t="s">
        <v>345</v>
      </c>
      <c r="B337" t="s">
        <v>11</v>
      </c>
      <c r="C337" t="s">
        <v>15</v>
      </c>
      <c r="D337">
        <v>5</v>
      </c>
      <c r="E337">
        <v>30000</v>
      </c>
      <c r="F337">
        <v>39.602670148614898</v>
      </c>
      <c r="G337">
        <v>31.7670749137088</v>
      </c>
      <c r="H337">
        <v>3000</v>
      </c>
      <c r="I337">
        <v>374</v>
      </c>
      <c r="J337">
        <v>131</v>
      </c>
      <c r="K337" t="str">
        <f t="shared" si="15"/>
        <v>Los Angeles → London</v>
      </c>
      <c r="L337" s="5">
        <f t="shared" si="16"/>
        <v>74.8</v>
      </c>
      <c r="M337" s="7">
        <f t="shared" si="17"/>
        <v>48994</v>
      </c>
      <c r="N337" s="7"/>
      <c r="O337" s="7"/>
    </row>
    <row r="338" spans="1:15" x14ac:dyDescent="0.25">
      <c r="A338" t="s">
        <v>346</v>
      </c>
      <c r="B338" t="s">
        <v>28</v>
      </c>
      <c r="C338" t="s">
        <v>13</v>
      </c>
      <c r="D338">
        <v>9</v>
      </c>
      <c r="E338">
        <v>32000</v>
      </c>
      <c r="F338">
        <v>-67.353338083086598</v>
      </c>
      <c r="G338">
        <v>16.963528915547499</v>
      </c>
      <c r="H338">
        <v>2847</v>
      </c>
      <c r="I338">
        <v>300</v>
      </c>
      <c r="J338">
        <v>100</v>
      </c>
      <c r="K338" t="str">
        <f t="shared" si="15"/>
        <v>New York → Paris</v>
      </c>
      <c r="L338" s="5">
        <f t="shared" si="16"/>
        <v>33.333333333333336</v>
      </c>
      <c r="M338" s="7">
        <f t="shared" si="17"/>
        <v>30000</v>
      </c>
      <c r="N338" s="7"/>
      <c r="O338" s="7"/>
    </row>
    <row r="339" spans="1:15" x14ac:dyDescent="0.25">
      <c r="A339" t="s">
        <v>347</v>
      </c>
      <c r="B339" t="s">
        <v>1</v>
      </c>
      <c r="C339" t="s">
        <v>15</v>
      </c>
      <c r="D339">
        <v>5</v>
      </c>
      <c r="E339">
        <v>30000</v>
      </c>
      <c r="F339">
        <v>-82.405348644936296</v>
      </c>
      <c r="G339">
        <v>18.5670216221305</v>
      </c>
      <c r="H339">
        <v>3000</v>
      </c>
      <c r="I339">
        <v>300</v>
      </c>
      <c r="J339">
        <v>138</v>
      </c>
      <c r="K339" t="str">
        <f t="shared" si="15"/>
        <v>Houston → London</v>
      </c>
      <c r="L339" s="5">
        <f t="shared" si="16"/>
        <v>60</v>
      </c>
      <c r="M339" s="7">
        <f t="shared" si="17"/>
        <v>41400</v>
      </c>
      <c r="N339" s="7"/>
      <c r="O339" s="7"/>
    </row>
    <row r="340" spans="1:15" x14ac:dyDescent="0.25">
      <c r="A340" t="s">
        <v>348</v>
      </c>
      <c r="B340" t="s">
        <v>4</v>
      </c>
      <c r="C340" t="s">
        <v>2</v>
      </c>
      <c r="D340">
        <v>15</v>
      </c>
      <c r="E340">
        <v>30000</v>
      </c>
      <c r="F340">
        <v>35.160581772973103</v>
      </c>
      <c r="G340">
        <v>32.855842716789901</v>
      </c>
      <c r="H340">
        <v>2729</v>
      </c>
      <c r="I340">
        <v>300</v>
      </c>
      <c r="J340">
        <v>150</v>
      </c>
      <c r="K340" t="str">
        <f t="shared" si="15"/>
        <v>Miami → Tokyo</v>
      </c>
      <c r="L340" s="5">
        <f t="shared" si="16"/>
        <v>20</v>
      </c>
      <c r="M340" s="7">
        <f t="shared" si="17"/>
        <v>45000</v>
      </c>
      <c r="N340" s="7"/>
      <c r="O340" s="7"/>
    </row>
    <row r="341" spans="1:15" x14ac:dyDescent="0.25">
      <c r="A341" t="s">
        <v>349</v>
      </c>
      <c r="B341" t="s">
        <v>1</v>
      </c>
      <c r="C341" t="s">
        <v>9</v>
      </c>
      <c r="D341">
        <v>9</v>
      </c>
      <c r="E341">
        <v>30000</v>
      </c>
      <c r="F341">
        <v>131.79442810020899</v>
      </c>
      <c r="G341">
        <v>13.5646511632377</v>
      </c>
      <c r="H341">
        <v>3000</v>
      </c>
      <c r="I341">
        <v>600</v>
      </c>
      <c r="J341">
        <v>50</v>
      </c>
      <c r="K341" t="str">
        <f t="shared" si="15"/>
        <v>Houston → Sydney</v>
      </c>
      <c r="L341" s="5">
        <f t="shared" si="16"/>
        <v>66.666666666666671</v>
      </c>
      <c r="M341" s="7">
        <f t="shared" si="17"/>
        <v>30000</v>
      </c>
      <c r="N341" s="7"/>
      <c r="O341" s="7"/>
    </row>
    <row r="342" spans="1:15" x14ac:dyDescent="0.25">
      <c r="A342" t="s">
        <v>350</v>
      </c>
      <c r="B342" t="s">
        <v>28</v>
      </c>
      <c r="C342" t="s">
        <v>15</v>
      </c>
      <c r="D342">
        <v>9</v>
      </c>
      <c r="E342">
        <v>32000</v>
      </c>
      <c r="F342">
        <v>160.82414241242199</v>
      </c>
      <c r="G342">
        <v>-12.7687735255201</v>
      </c>
      <c r="H342">
        <v>3000</v>
      </c>
      <c r="I342">
        <v>300</v>
      </c>
      <c r="J342">
        <v>150</v>
      </c>
      <c r="K342" t="str">
        <f t="shared" si="15"/>
        <v>New York → London</v>
      </c>
      <c r="L342" s="5">
        <f t="shared" si="16"/>
        <v>33.333333333333336</v>
      </c>
      <c r="M342" s="7">
        <f t="shared" si="17"/>
        <v>45000</v>
      </c>
      <c r="N342" s="7"/>
      <c r="O342" s="7"/>
    </row>
    <row r="343" spans="1:15" x14ac:dyDescent="0.25">
      <c r="A343" t="s">
        <v>351</v>
      </c>
      <c r="B343" t="s">
        <v>1</v>
      </c>
      <c r="C343" t="s">
        <v>15</v>
      </c>
      <c r="D343">
        <v>5</v>
      </c>
      <c r="E343">
        <v>30000</v>
      </c>
      <c r="F343">
        <v>-141.87391041464701</v>
      </c>
      <c r="G343">
        <v>-40.333915011501603</v>
      </c>
      <c r="H343">
        <v>2500</v>
      </c>
      <c r="I343">
        <v>150</v>
      </c>
      <c r="J343">
        <v>150</v>
      </c>
      <c r="K343" t="str">
        <f t="shared" si="15"/>
        <v>Houston → London</v>
      </c>
      <c r="L343" s="5">
        <f t="shared" si="16"/>
        <v>30</v>
      </c>
      <c r="M343" s="7">
        <f t="shared" si="17"/>
        <v>22500</v>
      </c>
      <c r="N343" s="7"/>
      <c r="O343" s="7"/>
    </row>
    <row r="344" spans="1:15" x14ac:dyDescent="0.25">
      <c r="A344" t="s">
        <v>352</v>
      </c>
      <c r="B344" t="s">
        <v>6</v>
      </c>
      <c r="C344" t="s">
        <v>20</v>
      </c>
      <c r="D344">
        <v>10</v>
      </c>
      <c r="E344">
        <v>30000</v>
      </c>
      <c r="F344">
        <v>-124.26169946482101</v>
      </c>
      <c r="G344">
        <v>48.344639564376401</v>
      </c>
      <c r="H344">
        <v>2636</v>
      </c>
      <c r="I344">
        <v>402</v>
      </c>
      <c r="J344">
        <v>114</v>
      </c>
      <c r="K344" t="str">
        <f t="shared" si="15"/>
        <v>Chicago → Dubai</v>
      </c>
      <c r="L344" s="5">
        <f t="shared" si="16"/>
        <v>40.200000000000003</v>
      </c>
      <c r="M344" s="7">
        <f t="shared" si="17"/>
        <v>45828</v>
      </c>
      <c r="N344" s="7"/>
      <c r="O344" s="7"/>
    </row>
    <row r="345" spans="1:15" x14ac:dyDescent="0.25">
      <c r="A345" t="s">
        <v>353</v>
      </c>
      <c r="B345" t="s">
        <v>1</v>
      </c>
      <c r="C345" t="s">
        <v>9</v>
      </c>
      <c r="D345">
        <v>12</v>
      </c>
      <c r="E345">
        <v>30000</v>
      </c>
      <c r="F345">
        <v>160.10505316190901</v>
      </c>
      <c r="G345">
        <v>-49.270962599426497</v>
      </c>
      <c r="H345">
        <v>2500</v>
      </c>
      <c r="I345">
        <v>356</v>
      </c>
      <c r="J345">
        <v>150</v>
      </c>
      <c r="K345" t="str">
        <f t="shared" si="15"/>
        <v>Houston → Sydney</v>
      </c>
      <c r="L345" s="5">
        <f t="shared" si="16"/>
        <v>29.666666666666668</v>
      </c>
      <c r="M345" s="7">
        <f t="shared" si="17"/>
        <v>53400</v>
      </c>
      <c r="N345" s="7"/>
      <c r="O345" s="7"/>
    </row>
    <row r="346" spans="1:15" x14ac:dyDescent="0.25">
      <c r="A346" t="s">
        <v>354</v>
      </c>
      <c r="B346" t="s">
        <v>11</v>
      </c>
      <c r="C346" t="s">
        <v>13</v>
      </c>
      <c r="D346">
        <v>8</v>
      </c>
      <c r="E346">
        <v>30000</v>
      </c>
      <c r="F346">
        <v>85.152682200525305</v>
      </c>
      <c r="G346">
        <v>34.6237751077946</v>
      </c>
      <c r="H346">
        <v>2882</v>
      </c>
      <c r="I346">
        <v>354</v>
      </c>
      <c r="J346">
        <v>125</v>
      </c>
      <c r="K346" t="str">
        <f t="shared" si="15"/>
        <v>Los Angeles → Paris</v>
      </c>
      <c r="L346" s="5">
        <f t="shared" si="16"/>
        <v>44.25</v>
      </c>
      <c r="M346" s="7">
        <f t="shared" si="17"/>
        <v>44250</v>
      </c>
      <c r="N346" s="7"/>
      <c r="O346" s="7"/>
    </row>
    <row r="347" spans="1:15" x14ac:dyDescent="0.25">
      <c r="A347" t="s">
        <v>355</v>
      </c>
      <c r="B347" t="s">
        <v>11</v>
      </c>
      <c r="C347" t="s">
        <v>2</v>
      </c>
      <c r="D347">
        <v>7</v>
      </c>
      <c r="E347">
        <v>32000</v>
      </c>
      <c r="F347">
        <v>137.877776938718</v>
      </c>
      <c r="G347">
        <v>-48.000091923121197</v>
      </c>
      <c r="H347">
        <v>2000</v>
      </c>
      <c r="I347">
        <v>150</v>
      </c>
      <c r="J347">
        <v>200</v>
      </c>
      <c r="K347" t="str">
        <f t="shared" si="15"/>
        <v>Los Angeles → Tokyo</v>
      </c>
      <c r="L347" s="5">
        <f t="shared" si="16"/>
        <v>21.428571428571427</v>
      </c>
      <c r="M347" s="7">
        <f t="shared" si="17"/>
        <v>30000</v>
      </c>
      <c r="N347" s="7"/>
      <c r="O347" s="7"/>
    </row>
    <row r="348" spans="1:15" x14ac:dyDescent="0.25">
      <c r="A348" t="s">
        <v>356</v>
      </c>
      <c r="B348" t="s">
        <v>6</v>
      </c>
      <c r="C348" t="s">
        <v>13</v>
      </c>
      <c r="D348">
        <v>10</v>
      </c>
      <c r="E348">
        <v>30000</v>
      </c>
      <c r="F348">
        <v>-107.052251711276</v>
      </c>
      <c r="G348">
        <v>22.5594305918017</v>
      </c>
      <c r="H348">
        <v>2928</v>
      </c>
      <c r="I348">
        <v>354</v>
      </c>
      <c r="J348">
        <v>121</v>
      </c>
      <c r="K348" t="str">
        <f t="shared" si="15"/>
        <v>Chicago → Paris</v>
      </c>
      <c r="L348" s="5">
        <f t="shared" si="16"/>
        <v>35.4</v>
      </c>
      <c r="M348" s="7">
        <f t="shared" si="17"/>
        <v>42834</v>
      </c>
      <c r="N348" s="7"/>
      <c r="O348" s="7"/>
    </row>
    <row r="349" spans="1:15" x14ac:dyDescent="0.25">
      <c r="A349" t="s">
        <v>357</v>
      </c>
      <c r="B349" t="s">
        <v>28</v>
      </c>
      <c r="C349" t="s">
        <v>9</v>
      </c>
      <c r="D349">
        <v>12</v>
      </c>
      <c r="E349">
        <v>35000</v>
      </c>
      <c r="F349">
        <v>31.5309135993847</v>
      </c>
      <c r="G349">
        <v>44.474088083225197</v>
      </c>
      <c r="H349">
        <v>2800</v>
      </c>
      <c r="I349">
        <v>600</v>
      </c>
      <c r="J349">
        <v>120</v>
      </c>
      <c r="K349" t="str">
        <f t="shared" si="15"/>
        <v>New York → Sydney</v>
      </c>
      <c r="L349" s="5">
        <f t="shared" si="16"/>
        <v>50</v>
      </c>
      <c r="M349" s="7">
        <f t="shared" si="17"/>
        <v>72000</v>
      </c>
      <c r="N349" s="7"/>
      <c r="O349" s="7"/>
    </row>
    <row r="350" spans="1:15" x14ac:dyDescent="0.25">
      <c r="A350" t="s">
        <v>358</v>
      </c>
      <c r="B350" t="s">
        <v>11</v>
      </c>
      <c r="C350" t="s">
        <v>15</v>
      </c>
      <c r="D350">
        <v>9</v>
      </c>
      <c r="E350">
        <v>30000</v>
      </c>
      <c r="F350">
        <v>72.410253990290499</v>
      </c>
      <c r="G350">
        <v>-50.631499996823003</v>
      </c>
      <c r="H350">
        <v>2000</v>
      </c>
      <c r="I350">
        <v>374</v>
      </c>
      <c r="J350">
        <v>150</v>
      </c>
      <c r="K350" t="str">
        <f t="shared" si="15"/>
        <v>Los Angeles → London</v>
      </c>
      <c r="L350" s="5">
        <f t="shared" si="16"/>
        <v>41.555555555555557</v>
      </c>
      <c r="M350" s="7">
        <f t="shared" si="17"/>
        <v>56100</v>
      </c>
      <c r="N350" s="7"/>
      <c r="O350" s="7"/>
    </row>
    <row r="351" spans="1:15" x14ac:dyDescent="0.25">
      <c r="A351" t="s">
        <v>359</v>
      </c>
      <c r="B351" t="s">
        <v>4</v>
      </c>
      <c r="C351" t="s">
        <v>15</v>
      </c>
      <c r="D351">
        <v>12</v>
      </c>
      <c r="E351">
        <v>30000</v>
      </c>
      <c r="F351">
        <v>64.840278760910195</v>
      </c>
      <c r="G351">
        <v>-79.210205844964506</v>
      </c>
      <c r="H351">
        <v>2500</v>
      </c>
      <c r="I351">
        <v>600</v>
      </c>
      <c r="J351">
        <v>50</v>
      </c>
      <c r="K351" t="str">
        <f t="shared" si="15"/>
        <v>Miami → London</v>
      </c>
      <c r="L351" s="5">
        <f t="shared" si="16"/>
        <v>50</v>
      </c>
      <c r="M351" s="7">
        <f t="shared" si="17"/>
        <v>30000</v>
      </c>
      <c r="N351" s="7"/>
      <c r="O351" s="7"/>
    </row>
    <row r="352" spans="1:15" x14ac:dyDescent="0.25">
      <c r="A352" t="s">
        <v>360</v>
      </c>
      <c r="B352" t="s">
        <v>11</v>
      </c>
      <c r="C352" t="s">
        <v>9</v>
      </c>
      <c r="D352">
        <v>8</v>
      </c>
      <c r="E352">
        <v>30000</v>
      </c>
      <c r="F352">
        <v>-33.065391287988703</v>
      </c>
      <c r="G352">
        <v>-66.424726261048704</v>
      </c>
      <c r="H352">
        <v>3000</v>
      </c>
      <c r="I352">
        <v>356</v>
      </c>
      <c r="J352">
        <v>145</v>
      </c>
      <c r="K352" t="str">
        <f t="shared" si="15"/>
        <v>Los Angeles → Sydney</v>
      </c>
      <c r="L352" s="5">
        <f t="shared" si="16"/>
        <v>44.5</v>
      </c>
      <c r="M352" s="7">
        <f t="shared" si="17"/>
        <v>51620</v>
      </c>
      <c r="N352" s="7"/>
      <c r="O352" s="7"/>
    </row>
    <row r="353" spans="1:15" x14ac:dyDescent="0.25">
      <c r="A353" t="s">
        <v>361</v>
      </c>
      <c r="B353" t="s">
        <v>11</v>
      </c>
      <c r="C353" t="s">
        <v>15</v>
      </c>
      <c r="D353">
        <v>8</v>
      </c>
      <c r="E353">
        <v>30000</v>
      </c>
      <c r="F353">
        <v>-174.45783899112899</v>
      </c>
      <c r="G353">
        <v>19.079454108784599</v>
      </c>
      <c r="H353">
        <v>2760</v>
      </c>
      <c r="I353">
        <v>374</v>
      </c>
      <c r="J353">
        <v>131</v>
      </c>
      <c r="K353" t="str">
        <f t="shared" si="15"/>
        <v>Los Angeles → London</v>
      </c>
      <c r="L353" s="5">
        <f t="shared" si="16"/>
        <v>46.75</v>
      </c>
      <c r="M353" s="7">
        <f t="shared" si="17"/>
        <v>48994</v>
      </c>
      <c r="N353" s="7"/>
      <c r="O353" s="7"/>
    </row>
    <row r="354" spans="1:15" x14ac:dyDescent="0.25">
      <c r="A354" t="s">
        <v>362</v>
      </c>
      <c r="B354" t="s">
        <v>28</v>
      </c>
      <c r="C354" t="s">
        <v>15</v>
      </c>
      <c r="D354">
        <v>9</v>
      </c>
      <c r="E354">
        <v>30000</v>
      </c>
      <c r="F354">
        <v>29.853380449534701</v>
      </c>
      <c r="G354">
        <v>62.900353120632403</v>
      </c>
      <c r="H354">
        <v>2760</v>
      </c>
      <c r="I354">
        <v>374</v>
      </c>
      <c r="J354">
        <v>107</v>
      </c>
      <c r="K354" t="str">
        <f t="shared" si="15"/>
        <v>New York → London</v>
      </c>
      <c r="L354" s="5">
        <f t="shared" si="16"/>
        <v>41.555555555555557</v>
      </c>
      <c r="M354" s="7">
        <f t="shared" si="17"/>
        <v>40018</v>
      </c>
      <c r="N354" s="7"/>
      <c r="O354" s="7"/>
    </row>
    <row r="355" spans="1:15" x14ac:dyDescent="0.25">
      <c r="A355" t="s">
        <v>363</v>
      </c>
      <c r="B355" t="s">
        <v>1</v>
      </c>
      <c r="C355" t="s">
        <v>15</v>
      </c>
      <c r="D355">
        <v>9</v>
      </c>
      <c r="E355">
        <v>32000</v>
      </c>
      <c r="F355">
        <v>-88.883445895340799</v>
      </c>
      <c r="G355">
        <v>-81.900572177623602</v>
      </c>
      <c r="H355">
        <v>3000</v>
      </c>
      <c r="I355">
        <v>374</v>
      </c>
      <c r="J355">
        <v>200</v>
      </c>
      <c r="K355" t="str">
        <f t="shared" si="15"/>
        <v>Houston → London</v>
      </c>
      <c r="L355" s="5">
        <f t="shared" si="16"/>
        <v>41.555555555555557</v>
      </c>
      <c r="M355" s="7">
        <f t="shared" si="17"/>
        <v>74800</v>
      </c>
      <c r="N355" s="7"/>
      <c r="O355" s="7"/>
    </row>
    <row r="356" spans="1:15" x14ac:dyDescent="0.25">
      <c r="A356" t="s">
        <v>364</v>
      </c>
      <c r="B356" t="s">
        <v>11</v>
      </c>
      <c r="C356" t="s">
        <v>2</v>
      </c>
      <c r="D356">
        <v>9</v>
      </c>
      <c r="E356">
        <v>30000</v>
      </c>
      <c r="F356">
        <v>-17.908471388559501</v>
      </c>
      <c r="G356">
        <v>42.147226627496302</v>
      </c>
      <c r="H356">
        <v>2500</v>
      </c>
      <c r="I356">
        <v>397</v>
      </c>
      <c r="J356">
        <v>150</v>
      </c>
      <c r="K356" t="str">
        <f t="shared" si="15"/>
        <v>Los Angeles → Tokyo</v>
      </c>
      <c r="L356" s="5">
        <f t="shared" si="16"/>
        <v>44.111111111111114</v>
      </c>
      <c r="M356" s="7">
        <f t="shared" si="17"/>
        <v>59550</v>
      </c>
      <c r="N356" s="7"/>
      <c r="O356" s="7"/>
    </row>
    <row r="357" spans="1:15" x14ac:dyDescent="0.25">
      <c r="A357" t="s">
        <v>365</v>
      </c>
      <c r="B357" t="s">
        <v>6</v>
      </c>
      <c r="C357" t="s">
        <v>2</v>
      </c>
      <c r="D357">
        <v>8</v>
      </c>
      <c r="E357">
        <v>30000</v>
      </c>
      <c r="F357">
        <v>164.72916543017399</v>
      </c>
      <c r="G357">
        <v>-28.562643728990601</v>
      </c>
      <c r="H357">
        <v>2583</v>
      </c>
      <c r="I357">
        <v>397</v>
      </c>
      <c r="J357">
        <v>133</v>
      </c>
      <c r="K357" t="str">
        <f t="shared" si="15"/>
        <v>Chicago → Tokyo</v>
      </c>
      <c r="L357" s="5">
        <f t="shared" si="16"/>
        <v>49.625</v>
      </c>
      <c r="M357" s="7">
        <f t="shared" si="17"/>
        <v>52801</v>
      </c>
      <c r="N357" s="7"/>
      <c r="O357" s="7"/>
    </row>
    <row r="358" spans="1:15" x14ac:dyDescent="0.25">
      <c r="A358" t="s">
        <v>366</v>
      </c>
      <c r="B358" t="s">
        <v>1</v>
      </c>
      <c r="C358" t="s">
        <v>20</v>
      </c>
      <c r="D358">
        <v>15</v>
      </c>
      <c r="E358">
        <v>35000</v>
      </c>
      <c r="F358">
        <v>-36.347285648723499</v>
      </c>
      <c r="G358">
        <v>-3.8648934144859499</v>
      </c>
      <c r="H358">
        <v>3000</v>
      </c>
      <c r="I358">
        <v>300</v>
      </c>
      <c r="J358">
        <v>50</v>
      </c>
      <c r="K358" t="str">
        <f t="shared" si="15"/>
        <v>Houston → Dubai</v>
      </c>
      <c r="L358" s="5">
        <f t="shared" si="16"/>
        <v>20</v>
      </c>
      <c r="M358" s="7">
        <f t="shared" si="17"/>
        <v>15000</v>
      </c>
      <c r="N358" s="7"/>
      <c r="O358" s="7"/>
    </row>
    <row r="359" spans="1:15" x14ac:dyDescent="0.25">
      <c r="A359" t="s">
        <v>367</v>
      </c>
      <c r="B359" t="s">
        <v>4</v>
      </c>
      <c r="C359" t="s">
        <v>13</v>
      </c>
      <c r="D359">
        <v>8</v>
      </c>
      <c r="E359">
        <v>30000</v>
      </c>
      <c r="F359">
        <v>122.328578399194</v>
      </c>
      <c r="G359">
        <v>77.194718972201798</v>
      </c>
      <c r="H359">
        <v>2718</v>
      </c>
      <c r="I359">
        <v>354</v>
      </c>
      <c r="J359">
        <v>115</v>
      </c>
      <c r="K359" t="str">
        <f t="shared" si="15"/>
        <v>Miami → Paris</v>
      </c>
      <c r="L359" s="5">
        <f t="shared" si="16"/>
        <v>44.25</v>
      </c>
      <c r="M359" s="7">
        <f t="shared" si="17"/>
        <v>40710</v>
      </c>
      <c r="N359" s="7"/>
      <c r="O359" s="7"/>
    </row>
    <row r="360" spans="1:15" x14ac:dyDescent="0.25">
      <c r="A360" t="s">
        <v>368</v>
      </c>
      <c r="B360" t="s">
        <v>28</v>
      </c>
      <c r="C360" t="s">
        <v>9</v>
      </c>
      <c r="D360">
        <v>9</v>
      </c>
      <c r="E360">
        <v>35000</v>
      </c>
      <c r="F360">
        <v>-112.12538193027</v>
      </c>
      <c r="G360">
        <v>-30.2451291475478</v>
      </c>
      <c r="H360">
        <v>3500</v>
      </c>
      <c r="I360">
        <v>450</v>
      </c>
      <c r="J360">
        <v>100</v>
      </c>
      <c r="K360" t="str">
        <f t="shared" si="15"/>
        <v>New York → Sydney</v>
      </c>
      <c r="L360" s="5">
        <f t="shared" si="16"/>
        <v>50</v>
      </c>
      <c r="M360" s="7">
        <f t="shared" si="17"/>
        <v>45000</v>
      </c>
      <c r="N360" s="7"/>
      <c r="O360" s="7"/>
    </row>
    <row r="361" spans="1:15" x14ac:dyDescent="0.25">
      <c r="A361" t="s">
        <v>369</v>
      </c>
      <c r="B361" t="s">
        <v>4</v>
      </c>
      <c r="C361" t="s">
        <v>9</v>
      </c>
      <c r="D361">
        <v>10</v>
      </c>
      <c r="E361">
        <v>30000</v>
      </c>
      <c r="F361">
        <v>62.085779289010397</v>
      </c>
      <c r="G361">
        <v>-6.2393518908925101</v>
      </c>
      <c r="H361">
        <v>2931</v>
      </c>
      <c r="I361">
        <v>356</v>
      </c>
      <c r="J361">
        <v>105</v>
      </c>
      <c r="K361" t="str">
        <f t="shared" si="15"/>
        <v>Miami → Sydney</v>
      </c>
      <c r="L361" s="5">
        <f t="shared" si="16"/>
        <v>35.6</v>
      </c>
      <c r="M361" s="7">
        <f t="shared" si="17"/>
        <v>37380</v>
      </c>
      <c r="N361" s="7"/>
      <c r="O361" s="7"/>
    </row>
    <row r="362" spans="1:15" x14ac:dyDescent="0.25">
      <c r="A362" t="s">
        <v>370</v>
      </c>
      <c r="B362" t="s">
        <v>1</v>
      </c>
      <c r="C362" t="s">
        <v>9</v>
      </c>
      <c r="D362">
        <v>7</v>
      </c>
      <c r="E362">
        <v>30000</v>
      </c>
      <c r="F362">
        <v>171.72250359802001</v>
      </c>
      <c r="G362">
        <v>-87.537165343077405</v>
      </c>
      <c r="H362">
        <v>2500</v>
      </c>
      <c r="I362">
        <v>600</v>
      </c>
      <c r="J362">
        <v>150</v>
      </c>
      <c r="K362" t="str">
        <f t="shared" si="15"/>
        <v>Houston → Sydney</v>
      </c>
      <c r="L362" s="5">
        <f t="shared" si="16"/>
        <v>85.714285714285708</v>
      </c>
      <c r="M362" s="7">
        <f t="shared" si="17"/>
        <v>90000</v>
      </c>
      <c r="N362" s="7"/>
      <c r="O362" s="7"/>
    </row>
    <row r="363" spans="1:15" x14ac:dyDescent="0.25">
      <c r="A363" t="s">
        <v>371</v>
      </c>
      <c r="B363" t="s">
        <v>1</v>
      </c>
      <c r="C363" t="s">
        <v>20</v>
      </c>
      <c r="D363">
        <v>8</v>
      </c>
      <c r="E363">
        <v>30000</v>
      </c>
      <c r="F363">
        <v>-143.31848368574299</v>
      </c>
      <c r="G363">
        <v>-75.312230399129106</v>
      </c>
      <c r="H363">
        <v>2500</v>
      </c>
      <c r="I363">
        <v>402</v>
      </c>
      <c r="J363">
        <v>111</v>
      </c>
      <c r="K363" t="str">
        <f t="shared" si="15"/>
        <v>Houston → Dubai</v>
      </c>
      <c r="L363" s="5">
        <f t="shared" si="16"/>
        <v>50.25</v>
      </c>
      <c r="M363" s="7">
        <f t="shared" si="17"/>
        <v>44622</v>
      </c>
      <c r="N363" s="7"/>
      <c r="O363" s="7"/>
    </row>
    <row r="364" spans="1:15" x14ac:dyDescent="0.25">
      <c r="A364" t="s">
        <v>372</v>
      </c>
      <c r="B364" t="s">
        <v>1</v>
      </c>
      <c r="C364" t="s">
        <v>2</v>
      </c>
      <c r="D364">
        <v>10</v>
      </c>
      <c r="E364">
        <v>30000</v>
      </c>
      <c r="F364">
        <v>-177.004820798211</v>
      </c>
      <c r="G364">
        <v>-43.453513595738897</v>
      </c>
      <c r="H364">
        <v>2550</v>
      </c>
      <c r="I364">
        <v>397</v>
      </c>
      <c r="J364">
        <v>120</v>
      </c>
      <c r="K364" t="str">
        <f t="shared" si="15"/>
        <v>Houston → Tokyo</v>
      </c>
      <c r="L364" s="5">
        <f t="shared" si="16"/>
        <v>39.700000000000003</v>
      </c>
      <c r="M364" s="7">
        <f t="shared" si="17"/>
        <v>47640</v>
      </c>
      <c r="N364" s="7"/>
      <c r="O364" s="7"/>
    </row>
    <row r="365" spans="1:15" x14ac:dyDescent="0.25">
      <c r="A365" t="s">
        <v>373</v>
      </c>
      <c r="B365" t="s">
        <v>4</v>
      </c>
      <c r="C365" t="s">
        <v>20</v>
      </c>
      <c r="D365">
        <v>9</v>
      </c>
      <c r="E365">
        <v>30000</v>
      </c>
      <c r="F365">
        <v>-23.910194652258799</v>
      </c>
      <c r="G365">
        <v>-84.9865966522066</v>
      </c>
      <c r="H365">
        <v>2700</v>
      </c>
      <c r="I365">
        <v>402</v>
      </c>
      <c r="J365">
        <v>128</v>
      </c>
      <c r="K365" t="str">
        <f t="shared" si="15"/>
        <v>Miami → Dubai</v>
      </c>
      <c r="L365" s="5">
        <f t="shared" si="16"/>
        <v>44.666666666666664</v>
      </c>
      <c r="M365" s="7">
        <f t="shared" si="17"/>
        <v>51456</v>
      </c>
      <c r="N365" s="7"/>
      <c r="O365" s="7"/>
    </row>
    <row r="366" spans="1:15" x14ac:dyDescent="0.25">
      <c r="A366" t="s">
        <v>374</v>
      </c>
      <c r="B366" t="s">
        <v>1</v>
      </c>
      <c r="C366" t="s">
        <v>9</v>
      </c>
      <c r="D366">
        <v>5</v>
      </c>
      <c r="E366">
        <v>32000</v>
      </c>
      <c r="F366">
        <v>-146.65482610150801</v>
      </c>
      <c r="G366">
        <v>23.647558688685201</v>
      </c>
      <c r="H366">
        <v>2000</v>
      </c>
      <c r="I366">
        <v>150</v>
      </c>
      <c r="J366">
        <v>150</v>
      </c>
      <c r="K366" t="str">
        <f t="shared" si="15"/>
        <v>Houston → Sydney</v>
      </c>
      <c r="L366" s="5">
        <f t="shared" si="16"/>
        <v>30</v>
      </c>
      <c r="M366" s="7">
        <f t="shared" si="17"/>
        <v>22500</v>
      </c>
      <c r="N366" s="7"/>
      <c r="O366" s="7"/>
    </row>
    <row r="367" spans="1:15" x14ac:dyDescent="0.25">
      <c r="A367" t="s">
        <v>375</v>
      </c>
      <c r="B367" t="s">
        <v>4</v>
      </c>
      <c r="C367" t="s">
        <v>13</v>
      </c>
      <c r="D367">
        <v>8</v>
      </c>
      <c r="E367">
        <v>30000</v>
      </c>
      <c r="F367">
        <v>89.4183658834433</v>
      </c>
      <c r="G367">
        <v>-13.2482957757079</v>
      </c>
      <c r="H367">
        <v>2718</v>
      </c>
      <c r="I367">
        <v>354</v>
      </c>
      <c r="J367">
        <v>115</v>
      </c>
      <c r="K367" t="str">
        <f t="shared" si="15"/>
        <v>Miami → Paris</v>
      </c>
      <c r="L367" s="5">
        <f t="shared" si="16"/>
        <v>44.25</v>
      </c>
      <c r="M367" s="7">
        <f t="shared" si="17"/>
        <v>40710</v>
      </c>
      <c r="N367" s="7"/>
      <c r="O367" s="7"/>
    </row>
    <row r="368" spans="1:15" x14ac:dyDescent="0.25">
      <c r="A368" t="s">
        <v>376</v>
      </c>
      <c r="B368" t="s">
        <v>1</v>
      </c>
      <c r="C368" t="s">
        <v>15</v>
      </c>
      <c r="D368">
        <v>7</v>
      </c>
      <c r="E368">
        <v>30000</v>
      </c>
      <c r="F368">
        <v>149.23751898548099</v>
      </c>
      <c r="G368">
        <v>8.6661364910439698</v>
      </c>
      <c r="H368">
        <v>3000</v>
      </c>
      <c r="I368">
        <v>150</v>
      </c>
      <c r="J368">
        <v>100</v>
      </c>
      <c r="K368" t="str">
        <f t="shared" si="15"/>
        <v>Houston → London</v>
      </c>
      <c r="L368" s="5">
        <f t="shared" si="16"/>
        <v>21.428571428571427</v>
      </c>
      <c r="M368" s="7">
        <f t="shared" si="17"/>
        <v>15000</v>
      </c>
      <c r="N368" s="7"/>
      <c r="O368" s="7"/>
    </row>
    <row r="369" spans="1:15" x14ac:dyDescent="0.25">
      <c r="A369" t="s">
        <v>377</v>
      </c>
      <c r="B369" t="s">
        <v>6</v>
      </c>
      <c r="C369" t="s">
        <v>2</v>
      </c>
      <c r="D369">
        <v>7</v>
      </c>
      <c r="E369">
        <v>35000</v>
      </c>
      <c r="F369">
        <v>-23.752449824846799</v>
      </c>
      <c r="G369">
        <v>-58.563506538660697</v>
      </c>
      <c r="H369">
        <v>3000</v>
      </c>
      <c r="I369">
        <v>300</v>
      </c>
      <c r="J369">
        <v>50</v>
      </c>
      <c r="K369" t="str">
        <f t="shared" si="15"/>
        <v>Chicago → Tokyo</v>
      </c>
      <c r="L369" s="5">
        <f t="shared" si="16"/>
        <v>42.857142857142854</v>
      </c>
      <c r="M369" s="7">
        <f t="shared" si="17"/>
        <v>15000</v>
      </c>
      <c r="N369" s="7"/>
      <c r="O369" s="7"/>
    </row>
    <row r="370" spans="1:15" x14ac:dyDescent="0.25">
      <c r="A370" t="s">
        <v>378</v>
      </c>
      <c r="B370" t="s">
        <v>1</v>
      </c>
      <c r="C370" t="s">
        <v>2</v>
      </c>
      <c r="D370">
        <v>9</v>
      </c>
      <c r="E370">
        <v>32000</v>
      </c>
      <c r="F370">
        <v>-86.8638088240413</v>
      </c>
      <c r="G370">
        <v>-36.732234701409098</v>
      </c>
      <c r="H370">
        <v>2000</v>
      </c>
      <c r="I370">
        <v>300</v>
      </c>
      <c r="J370">
        <v>120</v>
      </c>
      <c r="K370" t="str">
        <f t="shared" si="15"/>
        <v>Houston → Tokyo</v>
      </c>
      <c r="L370" s="5">
        <f t="shared" si="16"/>
        <v>33.333333333333336</v>
      </c>
      <c r="M370" s="7">
        <f t="shared" si="17"/>
        <v>36000</v>
      </c>
      <c r="N370" s="7"/>
      <c r="O370" s="7"/>
    </row>
    <row r="371" spans="1:15" x14ac:dyDescent="0.25">
      <c r="A371" t="s">
        <v>379</v>
      </c>
      <c r="B371" t="s">
        <v>4</v>
      </c>
      <c r="C371" t="s">
        <v>20</v>
      </c>
      <c r="D371">
        <v>5</v>
      </c>
      <c r="E371">
        <v>35000</v>
      </c>
      <c r="F371">
        <v>-23.614805157620498</v>
      </c>
      <c r="G371">
        <v>29.488405473490499</v>
      </c>
      <c r="H371">
        <v>3500</v>
      </c>
      <c r="I371">
        <v>450</v>
      </c>
      <c r="J371">
        <v>128</v>
      </c>
      <c r="K371" t="str">
        <f t="shared" si="15"/>
        <v>Miami → Dubai</v>
      </c>
      <c r="L371" s="5">
        <f t="shared" si="16"/>
        <v>90</v>
      </c>
      <c r="M371" s="7">
        <f t="shared" si="17"/>
        <v>57600</v>
      </c>
      <c r="N371" s="7"/>
      <c r="O371" s="7"/>
    </row>
    <row r="372" spans="1:15" x14ac:dyDescent="0.25">
      <c r="A372" t="s">
        <v>380</v>
      </c>
      <c r="B372" t="s">
        <v>11</v>
      </c>
      <c r="C372" t="s">
        <v>2</v>
      </c>
      <c r="D372">
        <v>10</v>
      </c>
      <c r="E372">
        <v>30000</v>
      </c>
      <c r="F372">
        <v>80.4412144260004</v>
      </c>
      <c r="G372">
        <v>83.754490253471999</v>
      </c>
      <c r="H372">
        <v>2586</v>
      </c>
      <c r="I372">
        <v>397</v>
      </c>
      <c r="J372">
        <v>119</v>
      </c>
      <c r="K372" t="str">
        <f t="shared" si="15"/>
        <v>Los Angeles → Tokyo</v>
      </c>
      <c r="L372" s="5">
        <f t="shared" si="16"/>
        <v>39.700000000000003</v>
      </c>
      <c r="M372" s="7">
        <f t="shared" si="17"/>
        <v>47243</v>
      </c>
      <c r="N372" s="7"/>
      <c r="O372" s="7"/>
    </row>
    <row r="373" spans="1:15" x14ac:dyDescent="0.25">
      <c r="A373" t="s">
        <v>381</v>
      </c>
      <c r="B373" t="s">
        <v>1</v>
      </c>
      <c r="C373" t="s">
        <v>9</v>
      </c>
      <c r="D373">
        <v>9</v>
      </c>
      <c r="E373">
        <v>30000</v>
      </c>
      <c r="F373">
        <v>-176.74050183106601</v>
      </c>
      <c r="G373">
        <v>-80.924980751602305</v>
      </c>
      <c r="H373">
        <v>2500</v>
      </c>
      <c r="I373">
        <v>356</v>
      </c>
      <c r="J373">
        <v>127</v>
      </c>
      <c r="K373" t="str">
        <f t="shared" si="15"/>
        <v>Houston → Sydney</v>
      </c>
      <c r="L373" s="5">
        <f t="shared" si="16"/>
        <v>39.555555555555557</v>
      </c>
      <c r="M373" s="7">
        <f t="shared" si="17"/>
        <v>45212</v>
      </c>
      <c r="N373" s="7"/>
      <c r="O373" s="7"/>
    </row>
    <row r="374" spans="1:15" x14ac:dyDescent="0.25">
      <c r="A374" t="s">
        <v>382</v>
      </c>
      <c r="B374" t="s">
        <v>11</v>
      </c>
      <c r="C374" t="s">
        <v>9</v>
      </c>
      <c r="D374">
        <v>12</v>
      </c>
      <c r="E374">
        <v>35000</v>
      </c>
      <c r="F374">
        <v>32.203436214490999</v>
      </c>
      <c r="G374">
        <v>70.269177753947901</v>
      </c>
      <c r="H374">
        <v>3000</v>
      </c>
      <c r="I374">
        <v>450</v>
      </c>
      <c r="J374">
        <v>50</v>
      </c>
      <c r="K374" t="str">
        <f t="shared" si="15"/>
        <v>Los Angeles → Sydney</v>
      </c>
      <c r="L374" s="5">
        <f t="shared" si="16"/>
        <v>37.5</v>
      </c>
      <c r="M374" s="7">
        <f t="shared" si="17"/>
        <v>22500</v>
      </c>
      <c r="N374" s="7"/>
      <c r="O374" s="7"/>
    </row>
    <row r="375" spans="1:15" x14ac:dyDescent="0.25">
      <c r="A375" t="s">
        <v>383</v>
      </c>
      <c r="B375" t="s">
        <v>6</v>
      </c>
      <c r="C375" t="s">
        <v>20</v>
      </c>
      <c r="D375">
        <v>10</v>
      </c>
      <c r="E375">
        <v>30000</v>
      </c>
      <c r="F375">
        <v>40.785006559456498</v>
      </c>
      <c r="G375">
        <v>13.838616236017501</v>
      </c>
      <c r="H375">
        <v>2500</v>
      </c>
      <c r="I375">
        <v>402</v>
      </c>
      <c r="J375">
        <v>50</v>
      </c>
      <c r="K375" t="str">
        <f t="shared" si="15"/>
        <v>Chicago → Dubai</v>
      </c>
      <c r="L375" s="5">
        <f t="shared" si="16"/>
        <v>40.200000000000003</v>
      </c>
      <c r="M375" s="7">
        <f t="shared" si="17"/>
        <v>20100</v>
      </c>
      <c r="N375" s="7"/>
      <c r="O375" s="7"/>
    </row>
    <row r="376" spans="1:15" x14ac:dyDescent="0.25">
      <c r="A376" t="s">
        <v>384</v>
      </c>
      <c r="B376" t="s">
        <v>28</v>
      </c>
      <c r="C376" t="s">
        <v>9</v>
      </c>
      <c r="D376">
        <v>5</v>
      </c>
      <c r="E376">
        <v>35000</v>
      </c>
      <c r="F376">
        <v>49.567768882536797</v>
      </c>
      <c r="G376">
        <v>11.5055220160123</v>
      </c>
      <c r="H376">
        <v>2500</v>
      </c>
      <c r="I376">
        <v>600</v>
      </c>
      <c r="J376">
        <v>120</v>
      </c>
      <c r="K376" t="str">
        <f t="shared" si="15"/>
        <v>New York → Sydney</v>
      </c>
      <c r="L376" s="5">
        <f t="shared" si="16"/>
        <v>120</v>
      </c>
      <c r="M376" s="7">
        <f t="shared" si="17"/>
        <v>72000</v>
      </c>
      <c r="N376" s="7"/>
      <c r="O376" s="7"/>
    </row>
    <row r="377" spans="1:15" x14ac:dyDescent="0.25">
      <c r="A377" t="s">
        <v>385</v>
      </c>
      <c r="B377" t="s">
        <v>6</v>
      </c>
      <c r="C377" t="s">
        <v>13</v>
      </c>
      <c r="D377">
        <v>5</v>
      </c>
      <c r="E377">
        <v>30000</v>
      </c>
      <c r="F377">
        <v>-92.872051206884194</v>
      </c>
      <c r="G377">
        <v>5.0136337396864399E-2</v>
      </c>
      <c r="H377">
        <v>2928</v>
      </c>
      <c r="I377">
        <v>450</v>
      </c>
      <c r="J377">
        <v>100</v>
      </c>
      <c r="K377" t="str">
        <f t="shared" si="15"/>
        <v>Chicago → Paris</v>
      </c>
      <c r="L377" s="5">
        <f t="shared" si="16"/>
        <v>90</v>
      </c>
      <c r="M377" s="7">
        <f t="shared" si="17"/>
        <v>45000</v>
      </c>
      <c r="N377" s="7"/>
      <c r="O377" s="7"/>
    </row>
    <row r="378" spans="1:15" x14ac:dyDescent="0.25">
      <c r="A378" t="s">
        <v>386</v>
      </c>
      <c r="B378" t="s">
        <v>1</v>
      </c>
      <c r="C378" t="s">
        <v>20</v>
      </c>
      <c r="D378">
        <v>5</v>
      </c>
      <c r="E378">
        <v>32000</v>
      </c>
      <c r="F378">
        <v>77.058980416125607</v>
      </c>
      <c r="G378">
        <v>-77.509064537246999</v>
      </c>
      <c r="H378">
        <v>2000</v>
      </c>
      <c r="I378">
        <v>150</v>
      </c>
      <c r="J378">
        <v>150</v>
      </c>
      <c r="K378" t="str">
        <f t="shared" si="15"/>
        <v>Houston → Dubai</v>
      </c>
      <c r="L378" s="5">
        <f t="shared" si="16"/>
        <v>30</v>
      </c>
      <c r="M378" s="7">
        <f t="shared" si="17"/>
        <v>22500</v>
      </c>
      <c r="N378" s="7"/>
      <c r="O378" s="7"/>
    </row>
    <row r="379" spans="1:15" x14ac:dyDescent="0.25">
      <c r="A379" t="s">
        <v>387</v>
      </c>
      <c r="B379" t="s">
        <v>11</v>
      </c>
      <c r="C379" t="s">
        <v>13</v>
      </c>
      <c r="D379">
        <v>8</v>
      </c>
      <c r="E379">
        <v>30000</v>
      </c>
      <c r="F379">
        <v>-147.09906492056001</v>
      </c>
      <c r="G379">
        <v>-73.822166687491105</v>
      </c>
      <c r="H379">
        <v>2882</v>
      </c>
      <c r="I379">
        <v>354</v>
      </c>
      <c r="J379">
        <v>125</v>
      </c>
      <c r="K379" t="str">
        <f t="shared" si="15"/>
        <v>Los Angeles → Paris</v>
      </c>
      <c r="L379" s="5">
        <f t="shared" si="16"/>
        <v>44.25</v>
      </c>
      <c r="M379" s="7">
        <f t="shared" si="17"/>
        <v>44250</v>
      </c>
      <c r="N379" s="7"/>
      <c r="O379" s="7"/>
    </row>
    <row r="380" spans="1:15" x14ac:dyDescent="0.25">
      <c r="A380" t="s">
        <v>388</v>
      </c>
      <c r="B380" t="s">
        <v>11</v>
      </c>
      <c r="C380" t="s">
        <v>15</v>
      </c>
      <c r="D380">
        <v>8</v>
      </c>
      <c r="E380">
        <v>30000</v>
      </c>
      <c r="F380">
        <v>-108.26267887195201</v>
      </c>
      <c r="G380">
        <v>18.1641610186355</v>
      </c>
      <c r="H380">
        <v>2500</v>
      </c>
      <c r="I380">
        <v>374</v>
      </c>
      <c r="J380">
        <v>150</v>
      </c>
      <c r="K380" t="str">
        <f t="shared" si="15"/>
        <v>Los Angeles → London</v>
      </c>
      <c r="L380" s="5">
        <f t="shared" si="16"/>
        <v>46.75</v>
      </c>
      <c r="M380" s="7">
        <f t="shared" si="17"/>
        <v>56100</v>
      </c>
      <c r="N380" s="7"/>
      <c r="O380" s="7"/>
    </row>
    <row r="381" spans="1:15" x14ac:dyDescent="0.25">
      <c r="A381" t="s">
        <v>389</v>
      </c>
      <c r="B381" t="s">
        <v>4</v>
      </c>
      <c r="C381" t="s">
        <v>13</v>
      </c>
      <c r="D381">
        <v>7</v>
      </c>
      <c r="E381">
        <v>32000</v>
      </c>
      <c r="F381">
        <v>135.88921679561301</v>
      </c>
      <c r="G381">
        <v>-28.6274571415995</v>
      </c>
      <c r="H381">
        <v>2718</v>
      </c>
      <c r="I381">
        <v>150</v>
      </c>
      <c r="J381">
        <v>100</v>
      </c>
      <c r="K381" t="str">
        <f t="shared" si="15"/>
        <v>Miami → Paris</v>
      </c>
      <c r="L381" s="5">
        <f t="shared" si="16"/>
        <v>21.428571428571427</v>
      </c>
      <c r="M381" s="7">
        <f t="shared" si="17"/>
        <v>15000</v>
      </c>
      <c r="N381" s="7"/>
      <c r="O381" s="7"/>
    </row>
    <row r="382" spans="1:15" x14ac:dyDescent="0.25">
      <c r="A382" t="s">
        <v>390</v>
      </c>
      <c r="B382" t="s">
        <v>11</v>
      </c>
      <c r="C382" t="s">
        <v>15</v>
      </c>
      <c r="D382">
        <v>8</v>
      </c>
      <c r="E382">
        <v>30000</v>
      </c>
      <c r="F382">
        <v>85.940334261563905</v>
      </c>
      <c r="G382">
        <v>75.108251983982498</v>
      </c>
      <c r="H382">
        <v>2760</v>
      </c>
      <c r="I382">
        <v>374</v>
      </c>
      <c r="J382">
        <v>131</v>
      </c>
      <c r="K382" t="str">
        <f t="shared" si="15"/>
        <v>Los Angeles → London</v>
      </c>
      <c r="L382" s="5">
        <f t="shared" si="16"/>
        <v>46.75</v>
      </c>
      <c r="M382" s="7">
        <f t="shared" si="17"/>
        <v>48994</v>
      </c>
      <c r="N382" s="7"/>
      <c r="O382" s="7"/>
    </row>
    <row r="383" spans="1:15" x14ac:dyDescent="0.25">
      <c r="A383" t="s">
        <v>391</v>
      </c>
      <c r="B383" t="s">
        <v>4</v>
      </c>
      <c r="C383" t="s">
        <v>15</v>
      </c>
      <c r="D383">
        <v>8</v>
      </c>
      <c r="E383">
        <v>30000</v>
      </c>
      <c r="F383">
        <v>-175.051600555916</v>
      </c>
      <c r="G383">
        <v>-16.813703275295001</v>
      </c>
      <c r="H383">
        <v>2615</v>
      </c>
      <c r="I383">
        <v>374</v>
      </c>
      <c r="J383">
        <v>121</v>
      </c>
      <c r="K383" t="str">
        <f t="shared" si="15"/>
        <v>Miami → London</v>
      </c>
      <c r="L383" s="5">
        <f t="shared" si="16"/>
        <v>46.75</v>
      </c>
      <c r="M383" s="7">
        <f t="shared" si="17"/>
        <v>45254</v>
      </c>
      <c r="N383" s="7"/>
      <c r="O383" s="7"/>
    </row>
    <row r="384" spans="1:15" x14ac:dyDescent="0.25">
      <c r="A384" t="s">
        <v>392</v>
      </c>
      <c r="B384" t="s">
        <v>28</v>
      </c>
      <c r="C384" t="s">
        <v>13</v>
      </c>
      <c r="D384">
        <v>9</v>
      </c>
      <c r="E384">
        <v>30000</v>
      </c>
      <c r="F384">
        <v>-90.584546266871897</v>
      </c>
      <c r="G384">
        <v>-64.209337433524595</v>
      </c>
      <c r="H384">
        <v>2847</v>
      </c>
      <c r="I384">
        <v>354</v>
      </c>
      <c r="J384">
        <v>122</v>
      </c>
      <c r="K384" t="str">
        <f t="shared" si="15"/>
        <v>New York → Paris</v>
      </c>
      <c r="L384" s="5">
        <f t="shared" si="16"/>
        <v>39.333333333333336</v>
      </c>
      <c r="M384" s="7">
        <f t="shared" si="17"/>
        <v>43188</v>
      </c>
      <c r="N384" s="7"/>
      <c r="O384" s="7"/>
    </row>
    <row r="385" spans="1:15" x14ac:dyDescent="0.25">
      <c r="A385" t="s">
        <v>393</v>
      </c>
      <c r="B385" t="s">
        <v>1</v>
      </c>
      <c r="C385" t="s">
        <v>20</v>
      </c>
      <c r="D385">
        <v>12</v>
      </c>
      <c r="E385">
        <v>30000</v>
      </c>
      <c r="F385">
        <v>-102.813666122461</v>
      </c>
      <c r="G385">
        <v>38.649390030366497</v>
      </c>
      <c r="H385">
        <v>2000</v>
      </c>
      <c r="I385">
        <v>300</v>
      </c>
      <c r="J385">
        <v>100</v>
      </c>
      <c r="K385" t="str">
        <f t="shared" si="15"/>
        <v>Houston → Dubai</v>
      </c>
      <c r="L385" s="5">
        <f t="shared" si="16"/>
        <v>25</v>
      </c>
      <c r="M385" s="7">
        <f t="shared" si="17"/>
        <v>30000</v>
      </c>
      <c r="N385" s="7"/>
      <c r="O385" s="7"/>
    </row>
    <row r="386" spans="1:15" x14ac:dyDescent="0.25">
      <c r="A386" t="s">
        <v>394</v>
      </c>
      <c r="B386" t="s">
        <v>4</v>
      </c>
      <c r="C386" t="s">
        <v>9</v>
      </c>
      <c r="D386">
        <v>9</v>
      </c>
      <c r="E386">
        <v>30000</v>
      </c>
      <c r="F386">
        <v>-82.509721906689904</v>
      </c>
      <c r="G386">
        <v>-37.1963841406182</v>
      </c>
      <c r="H386">
        <v>2500</v>
      </c>
      <c r="I386">
        <v>356</v>
      </c>
      <c r="J386">
        <v>200</v>
      </c>
      <c r="K386" t="str">
        <f t="shared" si="15"/>
        <v>Miami → Sydney</v>
      </c>
      <c r="L386" s="5">
        <f t="shared" si="16"/>
        <v>39.555555555555557</v>
      </c>
      <c r="M386" s="7">
        <f t="shared" si="17"/>
        <v>71200</v>
      </c>
      <c r="N386" s="7"/>
      <c r="O386" s="7"/>
    </row>
    <row r="387" spans="1:15" x14ac:dyDescent="0.25">
      <c r="A387" t="s">
        <v>395</v>
      </c>
      <c r="B387" t="s">
        <v>28</v>
      </c>
      <c r="C387" t="s">
        <v>9</v>
      </c>
      <c r="D387">
        <v>7</v>
      </c>
      <c r="E387">
        <v>35000</v>
      </c>
      <c r="F387">
        <v>-90.878482699240905</v>
      </c>
      <c r="G387">
        <v>4.5846553240607797</v>
      </c>
      <c r="H387">
        <v>2500</v>
      </c>
      <c r="I387">
        <v>356</v>
      </c>
      <c r="J387">
        <v>150</v>
      </c>
      <c r="K387" t="str">
        <f t="shared" ref="K387:K450" si="18">B387 &amp; " → " &amp; C387</f>
        <v>New York → Sydney</v>
      </c>
      <c r="L387" s="5">
        <f t="shared" ref="L387:L450" si="19">I387/D387</f>
        <v>50.857142857142854</v>
      </c>
      <c r="M387" s="7">
        <f t="shared" ref="M387:M450" si="20">I387*J387</f>
        <v>53400</v>
      </c>
      <c r="N387" s="7"/>
      <c r="O387" s="7"/>
    </row>
    <row r="388" spans="1:15" x14ac:dyDescent="0.25">
      <c r="A388" t="s">
        <v>396</v>
      </c>
      <c r="B388" t="s">
        <v>11</v>
      </c>
      <c r="C388" t="s">
        <v>15</v>
      </c>
      <c r="D388">
        <v>8</v>
      </c>
      <c r="E388">
        <v>35000</v>
      </c>
      <c r="F388">
        <v>-157.49053353257599</v>
      </c>
      <c r="G388">
        <v>35.609901390930602</v>
      </c>
      <c r="H388">
        <v>2760</v>
      </c>
      <c r="I388">
        <v>300</v>
      </c>
      <c r="J388">
        <v>200</v>
      </c>
      <c r="K388" t="str">
        <f t="shared" si="18"/>
        <v>Los Angeles → London</v>
      </c>
      <c r="L388" s="5">
        <f t="shared" si="19"/>
        <v>37.5</v>
      </c>
      <c r="M388" s="7">
        <f t="shared" si="20"/>
        <v>60000</v>
      </c>
      <c r="N388" s="7"/>
      <c r="O388" s="7"/>
    </row>
    <row r="389" spans="1:15" x14ac:dyDescent="0.25">
      <c r="A389" t="s">
        <v>397</v>
      </c>
      <c r="B389" t="s">
        <v>11</v>
      </c>
      <c r="C389" t="s">
        <v>15</v>
      </c>
      <c r="D389">
        <v>15</v>
      </c>
      <c r="E389">
        <v>32000</v>
      </c>
      <c r="F389">
        <v>-14.7814140251447</v>
      </c>
      <c r="G389">
        <v>72.047540016372693</v>
      </c>
      <c r="H389">
        <v>3000</v>
      </c>
      <c r="I389">
        <v>300</v>
      </c>
      <c r="J389">
        <v>100</v>
      </c>
      <c r="K389" t="str">
        <f t="shared" si="18"/>
        <v>Los Angeles → London</v>
      </c>
      <c r="L389" s="5">
        <f t="shared" si="19"/>
        <v>20</v>
      </c>
      <c r="M389" s="7">
        <f t="shared" si="20"/>
        <v>30000</v>
      </c>
      <c r="N389" s="7"/>
      <c r="O389" s="7"/>
    </row>
    <row r="390" spans="1:15" x14ac:dyDescent="0.25">
      <c r="A390" t="s">
        <v>398</v>
      </c>
      <c r="B390" t="s">
        <v>28</v>
      </c>
      <c r="C390" t="s">
        <v>20</v>
      </c>
      <c r="D390">
        <v>11</v>
      </c>
      <c r="E390">
        <v>30000</v>
      </c>
      <c r="F390">
        <v>83.784050923019393</v>
      </c>
      <c r="G390">
        <v>52.5944150643017</v>
      </c>
      <c r="H390">
        <v>2588</v>
      </c>
      <c r="I390">
        <v>402</v>
      </c>
      <c r="J390">
        <v>134</v>
      </c>
      <c r="K390" t="str">
        <f t="shared" si="18"/>
        <v>New York → Dubai</v>
      </c>
      <c r="L390" s="5">
        <f t="shared" si="19"/>
        <v>36.545454545454547</v>
      </c>
      <c r="M390" s="7">
        <f t="shared" si="20"/>
        <v>53868</v>
      </c>
      <c r="N390" s="7"/>
      <c r="O390" s="7"/>
    </row>
    <row r="391" spans="1:15" x14ac:dyDescent="0.25">
      <c r="A391" t="s">
        <v>399</v>
      </c>
      <c r="B391" t="s">
        <v>11</v>
      </c>
      <c r="C391" t="s">
        <v>2</v>
      </c>
      <c r="D391">
        <v>12</v>
      </c>
      <c r="E391">
        <v>32000</v>
      </c>
      <c r="F391">
        <v>38.423420898277101</v>
      </c>
      <c r="G391">
        <v>31.744992217090299</v>
      </c>
      <c r="H391">
        <v>2000</v>
      </c>
      <c r="I391">
        <v>300</v>
      </c>
      <c r="J391">
        <v>150</v>
      </c>
      <c r="K391" t="str">
        <f t="shared" si="18"/>
        <v>Los Angeles → Tokyo</v>
      </c>
      <c r="L391" s="5">
        <f t="shared" si="19"/>
        <v>25</v>
      </c>
      <c r="M391" s="7">
        <f t="shared" si="20"/>
        <v>45000</v>
      </c>
      <c r="N391" s="7"/>
      <c r="O391" s="7"/>
    </row>
    <row r="392" spans="1:15" x14ac:dyDescent="0.25">
      <c r="A392" t="s">
        <v>400</v>
      </c>
      <c r="B392" t="s">
        <v>28</v>
      </c>
      <c r="C392" t="s">
        <v>13</v>
      </c>
      <c r="D392">
        <v>7</v>
      </c>
      <c r="E392">
        <v>30000</v>
      </c>
      <c r="F392">
        <v>62.233800695308702</v>
      </c>
      <c r="G392">
        <v>32.333972831125799</v>
      </c>
      <c r="H392">
        <v>3500</v>
      </c>
      <c r="I392">
        <v>450</v>
      </c>
      <c r="J392">
        <v>200</v>
      </c>
      <c r="K392" t="str">
        <f t="shared" si="18"/>
        <v>New York → Paris</v>
      </c>
      <c r="L392" s="5">
        <f t="shared" si="19"/>
        <v>64.285714285714292</v>
      </c>
      <c r="M392" s="7">
        <f t="shared" si="20"/>
        <v>90000</v>
      </c>
      <c r="N392" s="7"/>
      <c r="O392" s="7"/>
    </row>
    <row r="393" spans="1:15" x14ac:dyDescent="0.25">
      <c r="A393" t="s">
        <v>401</v>
      </c>
      <c r="B393" t="s">
        <v>4</v>
      </c>
      <c r="C393" t="s">
        <v>15</v>
      </c>
      <c r="D393">
        <v>9</v>
      </c>
      <c r="E393">
        <v>30000</v>
      </c>
      <c r="F393">
        <v>-150.78629572695399</v>
      </c>
      <c r="G393">
        <v>80.266435925775596</v>
      </c>
      <c r="H393">
        <v>2000</v>
      </c>
      <c r="I393">
        <v>150</v>
      </c>
      <c r="J393">
        <v>200</v>
      </c>
      <c r="K393" t="str">
        <f t="shared" si="18"/>
        <v>Miami → London</v>
      </c>
      <c r="L393" s="5">
        <f t="shared" si="19"/>
        <v>16.666666666666668</v>
      </c>
      <c r="M393" s="7">
        <f t="shared" si="20"/>
        <v>30000</v>
      </c>
      <c r="N393" s="7"/>
      <c r="O393" s="7"/>
    </row>
    <row r="394" spans="1:15" x14ac:dyDescent="0.25">
      <c r="A394" t="s">
        <v>402</v>
      </c>
      <c r="B394" t="s">
        <v>4</v>
      </c>
      <c r="C394" t="s">
        <v>9</v>
      </c>
      <c r="D394">
        <v>7</v>
      </c>
      <c r="E394">
        <v>30000</v>
      </c>
      <c r="F394">
        <v>162.53665566364299</v>
      </c>
      <c r="G394">
        <v>-36.751662450623499</v>
      </c>
      <c r="H394">
        <v>2500</v>
      </c>
      <c r="I394">
        <v>300</v>
      </c>
      <c r="J394">
        <v>50</v>
      </c>
      <c r="K394" t="str">
        <f t="shared" si="18"/>
        <v>Miami → Sydney</v>
      </c>
      <c r="L394" s="5">
        <f t="shared" si="19"/>
        <v>42.857142857142854</v>
      </c>
      <c r="M394" s="7">
        <f t="shared" si="20"/>
        <v>15000</v>
      </c>
      <c r="N394" s="7"/>
      <c r="O394" s="7"/>
    </row>
    <row r="395" spans="1:15" x14ac:dyDescent="0.25">
      <c r="A395" t="s">
        <v>403</v>
      </c>
      <c r="B395" t="s">
        <v>28</v>
      </c>
      <c r="C395" t="s">
        <v>20</v>
      </c>
      <c r="D395">
        <v>5</v>
      </c>
      <c r="E395">
        <v>30000</v>
      </c>
      <c r="F395">
        <v>121.857060183489</v>
      </c>
      <c r="G395">
        <v>-89.799823044686306</v>
      </c>
      <c r="H395">
        <v>2500</v>
      </c>
      <c r="I395">
        <v>402</v>
      </c>
      <c r="J395">
        <v>134</v>
      </c>
      <c r="K395" t="str">
        <f t="shared" si="18"/>
        <v>New York → Dubai</v>
      </c>
      <c r="L395" s="5">
        <f t="shared" si="19"/>
        <v>80.400000000000006</v>
      </c>
      <c r="M395" s="7">
        <f t="shared" si="20"/>
        <v>53868</v>
      </c>
      <c r="N395" s="7"/>
      <c r="O395" s="7"/>
    </row>
    <row r="396" spans="1:15" x14ac:dyDescent="0.25">
      <c r="A396" t="s">
        <v>404</v>
      </c>
      <c r="B396" t="s">
        <v>4</v>
      </c>
      <c r="C396" t="s">
        <v>13</v>
      </c>
      <c r="D396">
        <v>8</v>
      </c>
      <c r="E396">
        <v>30000</v>
      </c>
      <c r="F396">
        <v>109.832514658439</v>
      </c>
      <c r="G396">
        <v>-41.048179308324201</v>
      </c>
      <c r="H396">
        <v>2718</v>
      </c>
      <c r="I396">
        <v>354</v>
      </c>
      <c r="J396">
        <v>115</v>
      </c>
      <c r="K396" t="str">
        <f t="shared" si="18"/>
        <v>Miami → Paris</v>
      </c>
      <c r="L396" s="5">
        <f t="shared" si="19"/>
        <v>44.25</v>
      </c>
      <c r="M396" s="7">
        <f t="shared" si="20"/>
        <v>40710</v>
      </c>
      <c r="N396" s="7"/>
      <c r="O396" s="7"/>
    </row>
    <row r="397" spans="1:15" x14ac:dyDescent="0.25">
      <c r="A397" t="s">
        <v>405</v>
      </c>
      <c r="B397" t="s">
        <v>4</v>
      </c>
      <c r="C397" t="s">
        <v>20</v>
      </c>
      <c r="D397">
        <v>5</v>
      </c>
      <c r="E397">
        <v>35000</v>
      </c>
      <c r="F397">
        <v>116.274169815036</v>
      </c>
      <c r="G397">
        <v>-50.779551667186098</v>
      </c>
      <c r="H397">
        <v>3500</v>
      </c>
      <c r="I397">
        <v>402</v>
      </c>
      <c r="J397">
        <v>50</v>
      </c>
      <c r="K397" t="str">
        <f t="shared" si="18"/>
        <v>Miami → Dubai</v>
      </c>
      <c r="L397" s="5">
        <f t="shared" si="19"/>
        <v>80.400000000000006</v>
      </c>
      <c r="M397" s="7">
        <f t="shared" si="20"/>
        <v>20100</v>
      </c>
      <c r="N397" s="7"/>
      <c r="O397" s="7"/>
    </row>
    <row r="398" spans="1:15" x14ac:dyDescent="0.25">
      <c r="A398" t="s">
        <v>406</v>
      </c>
      <c r="B398" t="s">
        <v>4</v>
      </c>
      <c r="C398" t="s">
        <v>13</v>
      </c>
      <c r="D398">
        <v>5</v>
      </c>
      <c r="E398">
        <v>35000</v>
      </c>
      <c r="F398">
        <v>155.77578292779401</v>
      </c>
      <c r="G398">
        <v>29.130225320519699</v>
      </c>
      <c r="H398">
        <v>2718</v>
      </c>
      <c r="I398">
        <v>450</v>
      </c>
      <c r="J398">
        <v>100</v>
      </c>
      <c r="K398" t="str">
        <f t="shared" si="18"/>
        <v>Miami → Paris</v>
      </c>
      <c r="L398" s="5">
        <f t="shared" si="19"/>
        <v>90</v>
      </c>
      <c r="M398" s="7">
        <f t="shared" si="20"/>
        <v>45000</v>
      </c>
      <c r="N398" s="7"/>
      <c r="O398" s="7"/>
    </row>
    <row r="399" spans="1:15" x14ac:dyDescent="0.25">
      <c r="A399" t="s">
        <v>407</v>
      </c>
      <c r="B399" t="s">
        <v>6</v>
      </c>
      <c r="C399" t="s">
        <v>13</v>
      </c>
      <c r="D399">
        <v>9</v>
      </c>
      <c r="E399">
        <v>32000</v>
      </c>
      <c r="F399">
        <v>15.9314278009312</v>
      </c>
      <c r="G399">
        <v>24.0680879577952</v>
      </c>
      <c r="H399">
        <v>3500</v>
      </c>
      <c r="I399">
        <v>300</v>
      </c>
      <c r="J399">
        <v>50</v>
      </c>
      <c r="K399" t="str">
        <f t="shared" si="18"/>
        <v>Chicago → Paris</v>
      </c>
      <c r="L399" s="5">
        <f t="shared" si="19"/>
        <v>33.333333333333336</v>
      </c>
      <c r="M399" s="7">
        <f t="shared" si="20"/>
        <v>15000</v>
      </c>
      <c r="N399" s="7"/>
      <c r="O399" s="7"/>
    </row>
    <row r="400" spans="1:15" x14ac:dyDescent="0.25">
      <c r="A400" t="s">
        <v>408</v>
      </c>
      <c r="B400" t="s">
        <v>1</v>
      </c>
      <c r="C400" t="s">
        <v>15</v>
      </c>
      <c r="D400">
        <v>8</v>
      </c>
      <c r="E400">
        <v>30000</v>
      </c>
      <c r="F400">
        <v>-107.898473567655</v>
      </c>
      <c r="G400">
        <v>16.823048886850302</v>
      </c>
      <c r="H400">
        <v>2846</v>
      </c>
      <c r="I400">
        <v>374</v>
      </c>
      <c r="J400">
        <v>138</v>
      </c>
      <c r="K400" t="str">
        <f t="shared" si="18"/>
        <v>Houston → London</v>
      </c>
      <c r="L400" s="5">
        <f t="shared" si="19"/>
        <v>46.75</v>
      </c>
      <c r="M400" s="7">
        <f t="shared" si="20"/>
        <v>51612</v>
      </c>
      <c r="N400" s="7"/>
      <c r="O400" s="7"/>
    </row>
    <row r="401" spans="1:15" x14ac:dyDescent="0.25">
      <c r="A401" t="s">
        <v>409</v>
      </c>
      <c r="B401" t="s">
        <v>11</v>
      </c>
      <c r="C401" t="s">
        <v>20</v>
      </c>
      <c r="D401">
        <v>12</v>
      </c>
      <c r="E401">
        <v>30000</v>
      </c>
      <c r="F401">
        <v>42.042098826914803</v>
      </c>
      <c r="G401">
        <v>-87.076180222298305</v>
      </c>
      <c r="H401">
        <v>2794</v>
      </c>
      <c r="I401">
        <v>402</v>
      </c>
      <c r="J401">
        <v>50</v>
      </c>
      <c r="K401" t="str">
        <f t="shared" si="18"/>
        <v>Los Angeles → Dubai</v>
      </c>
      <c r="L401" s="5">
        <f t="shared" si="19"/>
        <v>33.5</v>
      </c>
      <c r="M401" s="7">
        <f t="shared" si="20"/>
        <v>20100</v>
      </c>
      <c r="N401" s="7"/>
      <c r="O401" s="7"/>
    </row>
    <row r="402" spans="1:15" x14ac:dyDescent="0.25">
      <c r="A402" t="s">
        <v>410</v>
      </c>
      <c r="B402" t="s">
        <v>6</v>
      </c>
      <c r="C402" t="s">
        <v>20</v>
      </c>
      <c r="D402">
        <v>7</v>
      </c>
      <c r="E402">
        <v>30000</v>
      </c>
      <c r="F402">
        <v>87.437337720458103</v>
      </c>
      <c r="G402">
        <v>41.180049801116603</v>
      </c>
      <c r="H402">
        <v>3500</v>
      </c>
      <c r="I402">
        <v>450</v>
      </c>
      <c r="J402">
        <v>100</v>
      </c>
      <c r="K402" t="str">
        <f t="shared" si="18"/>
        <v>Chicago → Dubai</v>
      </c>
      <c r="L402" s="5">
        <f t="shared" si="19"/>
        <v>64.285714285714292</v>
      </c>
      <c r="M402" s="7">
        <f t="shared" si="20"/>
        <v>45000</v>
      </c>
      <c r="N402" s="7"/>
      <c r="O402" s="7"/>
    </row>
    <row r="403" spans="1:15" x14ac:dyDescent="0.25">
      <c r="A403" t="s">
        <v>411</v>
      </c>
      <c r="B403" t="s">
        <v>4</v>
      </c>
      <c r="C403" t="s">
        <v>9</v>
      </c>
      <c r="D403">
        <v>5</v>
      </c>
      <c r="E403">
        <v>30000</v>
      </c>
      <c r="F403">
        <v>85.650261607449096</v>
      </c>
      <c r="G403">
        <v>-31.764525752611501</v>
      </c>
      <c r="H403">
        <v>3500</v>
      </c>
      <c r="I403">
        <v>600</v>
      </c>
      <c r="J403">
        <v>200</v>
      </c>
      <c r="K403" t="str">
        <f t="shared" si="18"/>
        <v>Miami → Sydney</v>
      </c>
      <c r="L403" s="5">
        <f t="shared" si="19"/>
        <v>120</v>
      </c>
      <c r="M403" s="7">
        <f t="shared" si="20"/>
        <v>120000</v>
      </c>
      <c r="N403" s="7"/>
      <c r="O403" s="7"/>
    </row>
    <row r="404" spans="1:15" x14ac:dyDescent="0.25">
      <c r="A404" t="s">
        <v>412</v>
      </c>
      <c r="B404" t="s">
        <v>28</v>
      </c>
      <c r="C404" t="s">
        <v>9</v>
      </c>
      <c r="D404">
        <v>7</v>
      </c>
      <c r="E404">
        <v>30000</v>
      </c>
      <c r="F404">
        <v>7.7216487000768304</v>
      </c>
      <c r="G404">
        <v>29.710078021193599</v>
      </c>
      <c r="H404">
        <v>2800</v>
      </c>
      <c r="I404">
        <v>300</v>
      </c>
      <c r="J404">
        <v>100</v>
      </c>
      <c r="K404" t="str">
        <f t="shared" si="18"/>
        <v>New York → Sydney</v>
      </c>
      <c r="L404" s="5">
        <f t="shared" si="19"/>
        <v>42.857142857142854</v>
      </c>
      <c r="M404" s="7">
        <f t="shared" si="20"/>
        <v>30000</v>
      </c>
      <c r="N404" s="7"/>
      <c r="O404" s="7"/>
    </row>
    <row r="405" spans="1:15" x14ac:dyDescent="0.25">
      <c r="A405" t="s">
        <v>413</v>
      </c>
      <c r="B405" t="s">
        <v>4</v>
      </c>
      <c r="C405" t="s">
        <v>15</v>
      </c>
      <c r="D405">
        <v>8</v>
      </c>
      <c r="E405">
        <v>32000</v>
      </c>
      <c r="F405">
        <v>-155.35486103991201</v>
      </c>
      <c r="G405">
        <v>10.1841171303876</v>
      </c>
      <c r="H405">
        <v>2500</v>
      </c>
      <c r="I405">
        <v>150</v>
      </c>
      <c r="J405">
        <v>150</v>
      </c>
      <c r="K405" t="str">
        <f t="shared" si="18"/>
        <v>Miami → London</v>
      </c>
      <c r="L405" s="5">
        <f t="shared" si="19"/>
        <v>18.75</v>
      </c>
      <c r="M405" s="7">
        <f t="shared" si="20"/>
        <v>22500</v>
      </c>
      <c r="N405" s="7"/>
      <c r="O405" s="7"/>
    </row>
    <row r="406" spans="1:15" x14ac:dyDescent="0.25">
      <c r="A406" t="s">
        <v>414</v>
      </c>
      <c r="B406" t="s">
        <v>1</v>
      </c>
      <c r="C406" t="s">
        <v>15</v>
      </c>
      <c r="D406">
        <v>8</v>
      </c>
      <c r="E406">
        <v>30000</v>
      </c>
      <c r="F406">
        <v>-46.399342165154003</v>
      </c>
      <c r="G406">
        <v>-28.308433422976702</v>
      </c>
      <c r="H406">
        <v>2846</v>
      </c>
      <c r="I406">
        <v>374</v>
      </c>
      <c r="J406">
        <v>138</v>
      </c>
      <c r="K406" t="str">
        <f t="shared" si="18"/>
        <v>Houston → London</v>
      </c>
      <c r="L406" s="5">
        <f t="shared" si="19"/>
        <v>46.75</v>
      </c>
      <c r="M406" s="7">
        <f t="shared" si="20"/>
        <v>51612</v>
      </c>
      <c r="N406" s="7"/>
      <c r="O406" s="7"/>
    </row>
    <row r="407" spans="1:15" x14ac:dyDescent="0.25">
      <c r="A407" t="s">
        <v>415</v>
      </c>
      <c r="B407" t="s">
        <v>4</v>
      </c>
      <c r="C407" t="s">
        <v>2</v>
      </c>
      <c r="D407">
        <v>9</v>
      </c>
      <c r="E407">
        <v>30000</v>
      </c>
      <c r="F407">
        <v>151.47597904680899</v>
      </c>
      <c r="G407">
        <v>-65.776271921260602</v>
      </c>
      <c r="H407">
        <v>2729</v>
      </c>
      <c r="I407">
        <v>397</v>
      </c>
      <c r="J407">
        <v>126</v>
      </c>
      <c r="K407" t="str">
        <f t="shared" si="18"/>
        <v>Miami → Tokyo</v>
      </c>
      <c r="L407" s="5">
        <f t="shared" si="19"/>
        <v>44.111111111111114</v>
      </c>
      <c r="M407" s="7">
        <f t="shared" si="20"/>
        <v>50022</v>
      </c>
      <c r="N407" s="7"/>
      <c r="O407" s="7"/>
    </row>
    <row r="408" spans="1:15" x14ac:dyDescent="0.25">
      <c r="A408" t="s">
        <v>416</v>
      </c>
      <c r="B408" t="s">
        <v>28</v>
      </c>
      <c r="C408" t="s">
        <v>9</v>
      </c>
      <c r="D408">
        <v>12</v>
      </c>
      <c r="E408">
        <v>30000</v>
      </c>
      <c r="F408">
        <v>30.401607512673401</v>
      </c>
      <c r="G408">
        <v>-73.0045984211134</v>
      </c>
      <c r="H408">
        <v>2500</v>
      </c>
      <c r="I408">
        <v>150</v>
      </c>
      <c r="J408">
        <v>150</v>
      </c>
      <c r="K408" t="str">
        <f t="shared" si="18"/>
        <v>New York → Sydney</v>
      </c>
      <c r="L408" s="5">
        <f t="shared" si="19"/>
        <v>12.5</v>
      </c>
      <c r="M408" s="7">
        <f t="shared" si="20"/>
        <v>22500</v>
      </c>
      <c r="N408" s="7"/>
      <c r="O408" s="7"/>
    </row>
    <row r="409" spans="1:15" x14ac:dyDescent="0.25">
      <c r="A409" t="s">
        <v>417</v>
      </c>
      <c r="B409" t="s">
        <v>1</v>
      </c>
      <c r="C409" t="s">
        <v>13</v>
      </c>
      <c r="D409">
        <v>15</v>
      </c>
      <c r="E409">
        <v>30000</v>
      </c>
      <c r="F409">
        <v>13.7994995720569</v>
      </c>
      <c r="G409">
        <v>59.673299960200197</v>
      </c>
      <c r="H409">
        <v>2647</v>
      </c>
      <c r="I409">
        <v>600</v>
      </c>
      <c r="J409">
        <v>113</v>
      </c>
      <c r="K409" t="str">
        <f t="shared" si="18"/>
        <v>Houston → Paris</v>
      </c>
      <c r="L409" s="5">
        <f t="shared" si="19"/>
        <v>40</v>
      </c>
      <c r="M409" s="7">
        <f t="shared" si="20"/>
        <v>67800</v>
      </c>
      <c r="N409" s="7"/>
      <c r="O409" s="7"/>
    </row>
    <row r="410" spans="1:15" x14ac:dyDescent="0.25">
      <c r="A410" t="s">
        <v>418</v>
      </c>
      <c r="B410" t="s">
        <v>4</v>
      </c>
      <c r="C410" t="s">
        <v>20</v>
      </c>
      <c r="D410">
        <v>9</v>
      </c>
      <c r="E410">
        <v>30000</v>
      </c>
      <c r="F410">
        <v>-83.212734822410297</v>
      </c>
      <c r="G410">
        <v>75.311557574680506</v>
      </c>
      <c r="H410">
        <v>2700</v>
      </c>
      <c r="I410">
        <v>402</v>
      </c>
      <c r="J410">
        <v>128</v>
      </c>
      <c r="K410" t="str">
        <f t="shared" si="18"/>
        <v>Miami → Dubai</v>
      </c>
      <c r="L410" s="5">
        <f t="shared" si="19"/>
        <v>44.666666666666664</v>
      </c>
      <c r="M410" s="7">
        <f t="shared" si="20"/>
        <v>51456</v>
      </c>
      <c r="N410" s="7"/>
      <c r="O410" s="7"/>
    </row>
    <row r="411" spans="1:15" x14ac:dyDescent="0.25">
      <c r="A411" t="s">
        <v>419</v>
      </c>
      <c r="B411" t="s">
        <v>1</v>
      </c>
      <c r="C411" t="s">
        <v>15</v>
      </c>
      <c r="D411">
        <v>9</v>
      </c>
      <c r="E411">
        <v>30000</v>
      </c>
      <c r="F411">
        <v>-47.3583888300316</v>
      </c>
      <c r="G411">
        <v>26.961848417573901</v>
      </c>
      <c r="H411">
        <v>3500</v>
      </c>
      <c r="I411">
        <v>450</v>
      </c>
      <c r="J411">
        <v>200</v>
      </c>
      <c r="K411" t="str">
        <f t="shared" si="18"/>
        <v>Houston → London</v>
      </c>
      <c r="L411" s="5">
        <f t="shared" si="19"/>
        <v>50</v>
      </c>
      <c r="M411" s="7">
        <f t="shared" si="20"/>
        <v>90000</v>
      </c>
      <c r="N411" s="7"/>
      <c r="O411" s="7"/>
    </row>
    <row r="412" spans="1:15" x14ac:dyDescent="0.25">
      <c r="A412" t="s">
        <v>420</v>
      </c>
      <c r="B412" t="s">
        <v>11</v>
      </c>
      <c r="C412" t="s">
        <v>20</v>
      </c>
      <c r="D412">
        <v>11</v>
      </c>
      <c r="E412">
        <v>32000</v>
      </c>
      <c r="F412">
        <v>142.32459209514101</v>
      </c>
      <c r="G412">
        <v>-71.381859325112998</v>
      </c>
      <c r="H412">
        <v>2500</v>
      </c>
      <c r="I412">
        <v>300</v>
      </c>
      <c r="J412">
        <v>100</v>
      </c>
      <c r="K412" t="str">
        <f t="shared" si="18"/>
        <v>Los Angeles → Dubai</v>
      </c>
      <c r="L412" s="5">
        <f t="shared" si="19"/>
        <v>27.272727272727273</v>
      </c>
      <c r="M412" s="7">
        <f t="shared" si="20"/>
        <v>30000</v>
      </c>
      <c r="N412" s="7"/>
      <c r="O412" s="7"/>
    </row>
    <row r="413" spans="1:15" x14ac:dyDescent="0.25">
      <c r="A413" t="s">
        <v>421</v>
      </c>
      <c r="B413" t="s">
        <v>11</v>
      </c>
      <c r="C413" t="s">
        <v>20</v>
      </c>
      <c r="D413">
        <v>11</v>
      </c>
      <c r="E413">
        <v>30000</v>
      </c>
      <c r="F413">
        <v>59.9266971096609</v>
      </c>
      <c r="G413">
        <v>-17.635100960116699</v>
      </c>
      <c r="H413">
        <v>2794</v>
      </c>
      <c r="I413">
        <v>402</v>
      </c>
      <c r="J413">
        <v>113</v>
      </c>
      <c r="K413" t="str">
        <f t="shared" si="18"/>
        <v>Los Angeles → Dubai</v>
      </c>
      <c r="L413" s="5">
        <f t="shared" si="19"/>
        <v>36.545454545454547</v>
      </c>
      <c r="M413" s="7">
        <f t="shared" si="20"/>
        <v>45426</v>
      </c>
      <c r="N413" s="7"/>
      <c r="O413" s="7"/>
    </row>
    <row r="414" spans="1:15" x14ac:dyDescent="0.25">
      <c r="A414" t="s">
        <v>422</v>
      </c>
      <c r="B414" t="s">
        <v>4</v>
      </c>
      <c r="C414" t="s">
        <v>2</v>
      </c>
      <c r="D414">
        <v>15</v>
      </c>
      <c r="E414">
        <v>32000</v>
      </c>
      <c r="F414">
        <v>103.45932963084</v>
      </c>
      <c r="G414">
        <v>41.209056018928301</v>
      </c>
      <c r="H414">
        <v>2000</v>
      </c>
      <c r="I414">
        <v>300</v>
      </c>
      <c r="J414">
        <v>100</v>
      </c>
      <c r="K414" t="str">
        <f t="shared" si="18"/>
        <v>Miami → Tokyo</v>
      </c>
      <c r="L414" s="5">
        <f t="shared" si="19"/>
        <v>20</v>
      </c>
      <c r="M414" s="7">
        <f t="shared" si="20"/>
        <v>30000</v>
      </c>
      <c r="N414" s="7"/>
      <c r="O414" s="7"/>
    </row>
    <row r="415" spans="1:15" x14ac:dyDescent="0.25">
      <c r="A415" t="s">
        <v>423</v>
      </c>
      <c r="B415" t="s">
        <v>1</v>
      </c>
      <c r="C415" t="s">
        <v>9</v>
      </c>
      <c r="D415">
        <v>9</v>
      </c>
      <c r="E415">
        <v>30000</v>
      </c>
      <c r="F415">
        <v>-16.435647695644199</v>
      </c>
      <c r="G415">
        <v>50.367759121812298</v>
      </c>
      <c r="H415">
        <v>2000</v>
      </c>
      <c r="I415">
        <v>356</v>
      </c>
      <c r="J415">
        <v>100</v>
      </c>
      <c r="K415" t="str">
        <f t="shared" si="18"/>
        <v>Houston → Sydney</v>
      </c>
      <c r="L415" s="5">
        <f t="shared" si="19"/>
        <v>39.555555555555557</v>
      </c>
      <c r="M415" s="7">
        <f t="shared" si="20"/>
        <v>35600</v>
      </c>
      <c r="N415" s="7"/>
      <c r="O415" s="7"/>
    </row>
    <row r="416" spans="1:15" x14ac:dyDescent="0.25">
      <c r="A416" t="s">
        <v>424</v>
      </c>
      <c r="B416" t="s">
        <v>28</v>
      </c>
      <c r="C416" t="s">
        <v>15</v>
      </c>
      <c r="D416">
        <v>7</v>
      </c>
      <c r="E416">
        <v>35000</v>
      </c>
      <c r="F416">
        <v>46.888999004216899</v>
      </c>
      <c r="G416">
        <v>-68.720647987604096</v>
      </c>
      <c r="H416">
        <v>2500</v>
      </c>
      <c r="I416">
        <v>600</v>
      </c>
      <c r="J416">
        <v>100</v>
      </c>
      <c r="K416" t="str">
        <f t="shared" si="18"/>
        <v>New York → London</v>
      </c>
      <c r="L416" s="5">
        <f t="shared" si="19"/>
        <v>85.714285714285708</v>
      </c>
      <c r="M416" s="7">
        <f t="shared" si="20"/>
        <v>60000</v>
      </c>
      <c r="N416" s="7"/>
      <c r="O416" s="7"/>
    </row>
    <row r="417" spans="1:15" x14ac:dyDescent="0.25">
      <c r="A417" t="s">
        <v>425</v>
      </c>
      <c r="B417" t="s">
        <v>4</v>
      </c>
      <c r="C417" t="s">
        <v>20</v>
      </c>
      <c r="D417">
        <v>9</v>
      </c>
      <c r="E417">
        <v>35000</v>
      </c>
      <c r="F417">
        <v>-90.581900852445301</v>
      </c>
      <c r="G417">
        <v>-89.994470607831204</v>
      </c>
      <c r="H417">
        <v>2700</v>
      </c>
      <c r="I417">
        <v>600</v>
      </c>
      <c r="J417">
        <v>100</v>
      </c>
      <c r="K417" t="str">
        <f t="shared" si="18"/>
        <v>Miami → Dubai</v>
      </c>
      <c r="L417" s="5">
        <f t="shared" si="19"/>
        <v>66.666666666666671</v>
      </c>
      <c r="M417" s="7">
        <f t="shared" si="20"/>
        <v>60000</v>
      </c>
      <c r="N417" s="7"/>
      <c r="O417" s="7"/>
    </row>
    <row r="418" spans="1:15" x14ac:dyDescent="0.25">
      <c r="A418" t="s">
        <v>426</v>
      </c>
      <c r="B418" t="s">
        <v>11</v>
      </c>
      <c r="C418" t="s">
        <v>15</v>
      </c>
      <c r="D418">
        <v>5</v>
      </c>
      <c r="E418">
        <v>35000</v>
      </c>
      <c r="F418">
        <v>73.965898902055002</v>
      </c>
      <c r="G418">
        <v>38.1846682585089</v>
      </c>
      <c r="H418">
        <v>3500</v>
      </c>
      <c r="I418">
        <v>600</v>
      </c>
      <c r="J418">
        <v>200</v>
      </c>
      <c r="K418" t="str">
        <f t="shared" si="18"/>
        <v>Los Angeles → London</v>
      </c>
      <c r="L418" s="5">
        <f t="shared" si="19"/>
        <v>120</v>
      </c>
      <c r="M418" s="7">
        <f t="shared" si="20"/>
        <v>120000</v>
      </c>
      <c r="N418" s="7"/>
      <c r="O418" s="7"/>
    </row>
    <row r="419" spans="1:15" x14ac:dyDescent="0.25">
      <c r="A419" t="s">
        <v>427</v>
      </c>
      <c r="B419" t="s">
        <v>11</v>
      </c>
      <c r="C419" t="s">
        <v>13</v>
      </c>
      <c r="D419">
        <v>12</v>
      </c>
      <c r="E419">
        <v>35000</v>
      </c>
      <c r="F419">
        <v>-26.0635198667986</v>
      </c>
      <c r="G419">
        <v>-25.812688322483002</v>
      </c>
      <c r="H419">
        <v>3500</v>
      </c>
      <c r="I419">
        <v>354</v>
      </c>
      <c r="J419">
        <v>50</v>
      </c>
      <c r="K419" t="str">
        <f t="shared" si="18"/>
        <v>Los Angeles → Paris</v>
      </c>
      <c r="L419" s="5">
        <f t="shared" si="19"/>
        <v>29.5</v>
      </c>
      <c r="M419" s="7">
        <f t="shared" si="20"/>
        <v>17700</v>
      </c>
      <c r="N419" s="7"/>
      <c r="O419" s="7"/>
    </row>
    <row r="420" spans="1:15" x14ac:dyDescent="0.25">
      <c r="A420" t="s">
        <v>428</v>
      </c>
      <c r="B420" t="s">
        <v>4</v>
      </c>
      <c r="C420" t="s">
        <v>2</v>
      </c>
      <c r="D420">
        <v>5</v>
      </c>
      <c r="E420">
        <v>32000</v>
      </c>
      <c r="F420">
        <v>-20.6836146666916</v>
      </c>
      <c r="G420">
        <v>-44.193360308713203</v>
      </c>
      <c r="H420">
        <v>2500</v>
      </c>
      <c r="I420">
        <v>450</v>
      </c>
      <c r="J420">
        <v>100</v>
      </c>
      <c r="K420" t="str">
        <f t="shared" si="18"/>
        <v>Miami → Tokyo</v>
      </c>
      <c r="L420" s="5">
        <f t="shared" si="19"/>
        <v>90</v>
      </c>
      <c r="M420" s="7">
        <f t="shared" si="20"/>
        <v>45000</v>
      </c>
      <c r="N420" s="7"/>
      <c r="O420" s="7"/>
    </row>
    <row r="421" spans="1:15" x14ac:dyDescent="0.25">
      <c r="A421" t="s">
        <v>429</v>
      </c>
      <c r="B421" t="s">
        <v>1</v>
      </c>
      <c r="C421" t="s">
        <v>13</v>
      </c>
      <c r="D421">
        <v>7</v>
      </c>
      <c r="E421">
        <v>32000</v>
      </c>
      <c r="F421">
        <v>53.7560368476774</v>
      </c>
      <c r="G421">
        <v>-87.678455437885404</v>
      </c>
      <c r="H421">
        <v>2500</v>
      </c>
      <c r="I421">
        <v>300</v>
      </c>
      <c r="J421">
        <v>200</v>
      </c>
      <c r="K421" t="str">
        <f t="shared" si="18"/>
        <v>Houston → Paris</v>
      </c>
      <c r="L421" s="5">
        <f t="shared" si="19"/>
        <v>42.857142857142854</v>
      </c>
      <c r="M421" s="7">
        <f t="shared" si="20"/>
        <v>60000</v>
      </c>
      <c r="N421" s="7"/>
      <c r="O421" s="7"/>
    </row>
    <row r="422" spans="1:15" x14ac:dyDescent="0.25">
      <c r="A422" t="s">
        <v>430</v>
      </c>
      <c r="B422" t="s">
        <v>11</v>
      </c>
      <c r="C422" t="s">
        <v>15</v>
      </c>
      <c r="D422">
        <v>8</v>
      </c>
      <c r="E422">
        <v>30000</v>
      </c>
      <c r="F422">
        <v>157.06102372881401</v>
      </c>
      <c r="G422">
        <v>7.2538932170699404</v>
      </c>
      <c r="H422">
        <v>2760</v>
      </c>
      <c r="I422">
        <v>374</v>
      </c>
      <c r="J422">
        <v>131</v>
      </c>
      <c r="K422" t="str">
        <f t="shared" si="18"/>
        <v>Los Angeles → London</v>
      </c>
      <c r="L422" s="5">
        <f t="shared" si="19"/>
        <v>46.75</v>
      </c>
      <c r="M422" s="7">
        <f t="shared" si="20"/>
        <v>48994</v>
      </c>
      <c r="N422" s="7"/>
      <c r="O422" s="7"/>
    </row>
    <row r="423" spans="1:15" x14ac:dyDescent="0.25">
      <c r="A423" t="s">
        <v>431</v>
      </c>
      <c r="B423" t="s">
        <v>1</v>
      </c>
      <c r="C423" t="s">
        <v>15</v>
      </c>
      <c r="D423">
        <v>15</v>
      </c>
      <c r="E423">
        <v>30000</v>
      </c>
      <c r="F423">
        <v>-156.95771522089601</v>
      </c>
      <c r="G423">
        <v>63.207132376676697</v>
      </c>
      <c r="H423">
        <v>3000</v>
      </c>
      <c r="I423">
        <v>374</v>
      </c>
      <c r="J423">
        <v>150</v>
      </c>
      <c r="K423" t="str">
        <f t="shared" si="18"/>
        <v>Houston → London</v>
      </c>
      <c r="L423" s="5">
        <f t="shared" si="19"/>
        <v>24.933333333333334</v>
      </c>
      <c r="M423" s="7">
        <f t="shared" si="20"/>
        <v>56100</v>
      </c>
      <c r="N423" s="7"/>
      <c r="O423" s="7"/>
    </row>
    <row r="424" spans="1:15" x14ac:dyDescent="0.25">
      <c r="A424" t="s">
        <v>432</v>
      </c>
      <c r="B424" t="s">
        <v>11</v>
      </c>
      <c r="C424" t="s">
        <v>9</v>
      </c>
      <c r="D424">
        <v>8</v>
      </c>
      <c r="E424">
        <v>30000</v>
      </c>
      <c r="F424">
        <v>116.90756544492299</v>
      </c>
      <c r="G424">
        <v>82.373696329065794</v>
      </c>
      <c r="H424">
        <v>3000</v>
      </c>
      <c r="I424">
        <v>356</v>
      </c>
      <c r="J424">
        <v>145</v>
      </c>
      <c r="K424" t="str">
        <f t="shared" si="18"/>
        <v>Los Angeles → Sydney</v>
      </c>
      <c r="L424" s="5">
        <f t="shared" si="19"/>
        <v>44.5</v>
      </c>
      <c r="M424" s="7">
        <f t="shared" si="20"/>
        <v>51620</v>
      </c>
      <c r="N424" s="7"/>
      <c r="O424" s="7"/>
    </row>
    <row r="425" spans="1:15" x14ac:dyDescent="0.25">
      <c r="A425" t="s">
        <v>433</v>
      </c>
      <c r="B425" t="s">
        <v>11</v>
      </c>
      <c r="C425" t="s">
        <v>20</v>
      </c>
      <c r="D425">
        <v>11</v>
      </c>
      <c r="E425">
        <v>30000</v>
      </c>
      <c r="F425">
        <v>-74.742080251610503</v>
      </c>
      <c r="G425">
        <v>11.8340911103921</v>
      </c>
      <c r="H425">
        <v>2794</v>
      </c>
      <c r="I425">
        <v>402</v>
      </c>
      <c r="J425">
        <v>113</v>
      </c>
      <c r="K425" t="str">
        <f t="shared" si="18"/>
        <v>Los Angeles → Dubai</v>
      </c>
      <c r="L425" s="5">
        <f t="shared" si="19"/>
        <v>36.545454545454547</v>
      </c>
      <c r="M425" s="7">
        <f t="shared" si="20"/>
        <v>45426</v>
      </c>
      <c r="N425" s="7"/>
      <c r="O425" s="7"/>
    </row>
    <row r="426" spans="1:15" x14ac:dyDescent="0.25">
      <c r="A426" t="s">
        <v>434</v>
      </c>
      <c r="B426" t="s">
        <v>6</v>
      </c>
      <c r="C426" t="s">
        <v>20</v>
      </c>
      <c r="D426">
        <v>10</v>
      </c>
      <c r="E426">
        <v>30000</v>
      </c>
      <c r="F426">
        <v>-20.188996377704001</v>
      </c>
      <c r="G426">
        <v>2.6030389931809399</v>
      </c>
      <c r="H426">
        <v>2636</v>
      </c>
      <c r="I426">
        <v>402</v>
      </c>
      <c r="J426">
        <v>114</v>
      </c>
      <c r="K426" t="str">
        <f t="shared" si="18"/>
        <v>Chicago → Dubai</v>
      </c>
      <c r="L426" s="5">
        <f t="shared" si="19"/>
        <v>40.200000000000003</v>
      </c>
      <c r="M426" s="7">
        <f t="shared" si="20"/>
        <v>45828</v>
      </c>
      <c r="N426" s="7"/>
      <c r="O426" s="7"/>
    </row>
    <row r="427" spans="1:15" x14ac:dyDescent="0.25">
      <c r="A427" t="s">
        <v>435</v>
      </c>
      <c r="B427" t="s">
        <v>11</v>
      </c>
      <c r="C427" t="s">
        <v>13</v>
      </c>
      <c r="D427">
        <v>8</v>
      </c>
      <c r="E427">
        <v>30000</v>
      </c>
      <c r="F427">
        <v>-172.111201640997</v>
      </c>
      <c r="G427">
        <v>-74.689850611936606</v>
      </c>
      <c r="H427">
        <v>2882</v>
      </c>
      <c r="I427">
        <v>354</v>
      </c>
      <c r="J427">
        <v>125</v>
      </c>
      <c r="K427" t="str">
        <f t="shared" si="18"/>
        <v>Los Angeles → Paris</v>
      </c>
      <c r="L427" s="5">
        <f t="shared" si="19"/>
        <v>44.25</v>
      </c>
      <c r="M427" s="7">
        <f t="shared" si="20"/>
        <v>44250</v>
      </c>
      <c r="N427" s="7"/>
      <c r="O427" s="7"/>
    </row>
    <row r="428" spans="1:15" x14ac:dyDescent="0.25">
      <c r="A428" t="s">
        <v>436</v>
      </c>
      <c r="B428" t="s">
        <v>28</v>
      </c>
      <c r="C428" t="s">
        <v>2</v>
      </c>
      <c r="D428">
        <v>9</v>
      </c>
      <c r="E428">
        <v>32000</v>
      </c>
      <c r="F428">
        <v>-71.623411979647301</v>
      </c>
      <c r="G428">
        <v>8.7971042776679607</v>
      </c>
      <c r="H428">
        <v>2954</v>
      </c>
      <c r="I428">
        <v>450</v>
      </c>
      <c r="J428">
        <v>50</v>
      </c>
      <c r="K428" t="str">
        <f t="shared" si="18"/>
        <v>New York → Tokyo</v>
      </c>
      <c r="L428" s="5">
        <f t="shared" si="19"/>
        <v>50</v>
      </c>
      <c r="M428" s="7">
        <f t="shared" si="20"/>
        <v>22500</v>
      </c>
      <c r="N428" s="7"/>
      <c r="O428" s="7"/>
    </row>
    <row r="429" spans="1:15" x14ac:dyDescent="0.25">
      <c r="A429" t="s">
        <v>437</v>
      </c>
      <c r="B429" t="s">
        <v>4</v>
      </c>
      <c r="C429" t="s">
        <v>20</v>
      </c>
      <c r="D429">
        <v>12</v>
      </c>
      <c r="E429">
        <v>35000</v>
      </c>
      <c r="F429">
        <v>0.94724734684697898</v>
      </c>
      <c r="G429">
        <v>-21.603765786229001</v>
      </c>
      <c r="H429">
        <v>2000</v>
      </c>
      <c r="I429">
        <v>600</v>
      </c>
      <c r="J429">
        <v>100</v>
      </c>
      <c r="K429" t="str">
        <f t="shared" si="18"/>
        <v>Miami → Dubai</v>
      </c>
      <c r="L429" s="5">
        <f t="shared" si="19"/>
        <v>50</v>
      </c>
      <c r="M429" s="7">
        <f t="shared" si="20"/>
        <v>60000</v>
      </c>
      <c r="N429" s="7"/>
      <c r="O429" s="7"/>
    </row>
    <row r="430" spans="1:15" x14ac:dyDescent="0.25">
      <c r="A430" t="s">
        <v>438</v>
      </c>
      <c r="B430" t="s">
        <v>4</v>
      </c>
      <c r="C430" t="s">
        <v>9</v>
      </c>
      <c r="D430">
        <v>10</v>
      </c>
      <c r="E430">
        <v>30000</v>
      </c>
      <c r="F430">
        <v>-159.77661215492199</v>
      </c>
      <c r="G430">
        <v>19.284350559043801</v>
      </c>
      <c r="H430">
        <v>2931</v>
      </c>
      <c r="I430">
        <v>356</v>
      </c>
      <c r="J430">
        <v>105</v>
      </c>
      <c r="K430" t="str">
        <f t="shared" si="18"/>
        <v>Miami → Sydney</v>
      </c>
      <c r="L430" s="5">
        <f t="shared" si="19"/>
        <v>35.6</v>
      </c>
      <c r="M430" s="7">
        <f t="shared" si="20"/>
        <v>37380</v>
      </c>
      <c r="N430" s="7"/>
      <c r="O430" s="7"/>
    </row>
    <row r="431" spans="1:15" x14ac:dyDescent="0.25">
      <c r="A431" t="s">
        <v>439</v>
      </c>
      <c r="B431" t="s">
        <v>1</v>
      </c>
      <c r="C431" t="s">
        <v>13</v>
      </c>
      <c r="D431">
        <v>9</v>
      </c>
      <c r="E431">
        <v>30000</v>
      </c>
      <c r="F431">
        <v>-3.2055374220605599</v>
      </c>
      <c r="G431">
        <v>-20.029257382221601</v>
      </c>
      <c r="H431">
        <v>2647</v>
      </c>
      <c r="I431">
        <v>354</v>
      </c>
      <c r="J431">
        <v>113</v>
      </c>
      <c r="K431" t="str">
        <f t="shared" si="18"/>
        <v>Houston → Paris</v>
      </c>
      <c r="L431" s="5">
        <f t="shared" si="19"/>
        <v>39.333333333333336</v>
      </c>
      <c r="M431" s="7">
        <f t="shared" si="20"/>
        <v>40002</v>
      </c>
      <c r="N431" s="7"/>
      <c r="O431" s="7"/>
    </row>
    <row r="432" spans="1:15" x14ac:dyDescent="0.25">
      <c r="A432" t="s">
        <v>440</v>
      </c>
      <c r="B432" t="s">
        <v>11</v>
      </c>
      <c r="C432" t="s">
        <v>13</v>
      </c>
      <c r="D432">
        <v>8</v>
      </c>
      <c r="E432">
        <v>30000</v>
      </c>
      <c r="F432">
        <v>153.759826389034</v>
      </c>
      <c r="G432">
        <v>-46.746157778933998</v>
      </c>
      <c r="H432">
        <v>2882</v>
      </c>
      <c r="I432">
        <v>354</v>
      </c>
      <c r="J432">
        <v>125</v>
      </c>
      <c r="K432" t="str">
        <f t="shared" si="18"/>
        <v>Los Angeles → Paris</v>
      </c>
      <c r="L432" s="5">
        <f t="shared" si="19"/>
        <v>44.25</v>
      </c>
      <c r="M432" s="7">
        <f t="shared" si="20"/>
        <v>44250</v>
      </c>
      <c r="N432" s="7"/>
      <c r="O432" s="7"/>
    </row>
    <row r="433" spans="1:15" x14ac:dyDescent="0.25">
      <c r="A433" t="s">
        <v>441</v>
      </c>
      <c r="B433" t="s">
        <v>28</v>
      </c>
      <c r="C433" t="s">
        <v>9</v>
      </c>
      <c r="D433">
        <v>9</v>
      </c>
      <c r="E433">
        <v>35000</v>
      </c>
      <c r="F433">
        <v>-142.05844148118999</v>
      </c>
      <c r="G433">
        <v>-72.906250458892202</v>
      </c>
      <c r="H433">
        <v>3500</v>
      </c>
      <c r="I433">
        <v>450</v>
      </c>
      <c r="J433">
        <v>120</v>
      </c>
      <c r="K433" t="str">
        <f t="shared" si="18"/>
        <v>New York → Sydney</v>
      </c>
      <c r="L433" s="5">
        <f t="shared" si="19"/>
        <v>50</v>
      </c>
      <c r="M433" s="7">
        <f t="shared" si="20"/>
        <v>54000</v>
      </c>
      <c r="N433" s="7"/>
      <c r="O433" s="7"/>
    </row>
    <row r="434" spans="1:15" x14ac:dyDescent="0.25">
      <c r="A434" t="s">
        <v>442</v>
      </c>
      <c r="B434" t="s">
        <v>1</v>
      </c>
      <c r="C434" t="s">
        <v>2</v>
      </c>
      <c r="D434">
        <v>10</v>
      </c>
      <c r="E434">
        <v>30000</v>
      </c>
      <c r="F434">
        <v>95.198662107181605</v>
      </c>
      <c r="G434">
        <v>-33.3146799739988</v>
      </c>
      <c r="H434">
        <v>2550</v>
      </c>
      <c r="I434">
        <v>397</v>
      </c>
      <c r="J434">
        <v>120</v>
      </c>
      <c r="K434" t="str">
        <f t="shared" si="18"/>
        <v>Houston → Tokyo</v>
      </c>
      <c r="L434" s="5">
        <f t="shared" si="19"/>
        <v>39.700000000000003</v>
      </c>
      <c r="M434" s="7">
        <f t="shared" si="20"/>
        <v>47640</v>
      </c>
      <c r="N434" s="7"/>
      <c r="O434" s="7"/>
    </row>
    <row r="435" spans="1:15" x14ac:dyDescent="0.25">
      <c r="A435" t="s">
        <v>443</v>
      </c>
      <c r="B435" t="s">
        <v>6</v>
      </c>
      <c r="C435" t="s">
        <v>9</v>
      </c>
      <c r="D435">
        <v>9</v>
      </c>
      <c r="E435">
        <v>30000</v>
      </c>
      <c r="F435">
        <v>-32.518420784642601</v>
      </c>
      <c r="G435">
        <v>-72.603929828204599</v>
      </c>
      <c r="H435">
        <v>3500</v>
      </c>
      <c r="I435">
        <v>450</v>
      </c>
      <c r="J435">
        <v>137</v>
      </c>
      <c r="K435" t="str">
        <f t="shared" si="18"/>
        <v>Chicago → Sydney</v>
      </c>
      <c r="L435" s="5">
        <f t="shared" si="19"/>
        <v>50</v>
      </c>
      <c r="M435" s="7">
        <f t="shared" si="20"/>
        <v>61650</v>
      </c>
      <c r="N435" s="7"/>
      <c r="O435" s="7"/>
    </row>
    <row r="436" spans="1:15" x14ac:dyDescent="0.25">
      <c r="A436" t="s">
        <v>444</v>
      </c>
      <c r="B436" t="s">
        <v>1</v>
      </c>
      <c r="C436" t="s">
        <v>2</v>
      </c>
      <c r="D436">
        <v>12</v>
      </c>
      <c r="E436">
        <v>35000</v>
      </c>
      <c r="F436">
        <v>55.862537228761703</v>
      </c>
      <c r="G436">
        <v>-58.158548851682902</v>
      </c>
      <c r="H436">
        <v>3500</v>
      </c>
      <c r="I436">
        <v>300</v>
      </c>
      <c r="J436">
        <v>120</v>
      </c>
      <c r="K436" t="str">
        <f t="shared" si="18"/>
        <v>Houston → Tokyo</v>
      </c>
      <c r="L436" s="5">
        <f t="shared" si="19"/>
        <v>25</v>
      </c>
      <c r="M436" s="7">
        <f t="shared" si="20"/>
        <v>36000</v>
      </c>
      <c r="N436" s="7"/>
      <c r="O436" s="7"/>
    </row>
    <row r="437" spans="1:15" x14ac:dyDescent="0.25">
      <c r="A437" t="s">
        <v>445</v>
      </c>
      <c r="B437" t="s">
        <v>1</v>
      </c>
      <c r="C437" t="s">
        <v>9</v>
      </c>
      <c r="D437">
        <v>15</v>
      </c>
      <c r="E437">
        <v>30000</v>
      </c>
      <c r="F437">
        <v>-86.314824725317393</v>
      </c>
      <c r="G437">
        <v>87.720508544318307</v>
      </c>
      <c r="H437">
        <v>2500</v>
      </c>
      <c r="I437">
        <v>450</v>
      </c>
      <c r="J437">
        <v>200</v>
      </c>
      <c r="K437" t="str">
        <f t="shared" si="18"/>
        <v>Houston → Sydney</v>
      </c>
      <c r="L437" s="5">
        <f t="shared" si="19"/>
        <v>30</v>
      </c>
      <c r="M437" s="7">
        <f t="shared" si="20"/>
        <v>90000</v>
      </c>
      <c r="N437" s="7"/>
      <c r="O437" s="7"/>
    </row>
    <row r="438" spans="1:15" x14ac:dyDescent="0.25">
      <c r="A438" t="s">
        <v>446</v>
      </c>
      <c r="B438" t="s">
        <v>11</v>
      </c>
      <c r="C438" t="s">
        <v>9</v>
      </c>
      <c r="D438">
        <v>8</v>
      </c>
      <c r="E438">
        <v>30000</v>
      </c>
      <c r="F438">
        <v>-122.582785485111</v>
      </c>
      <c r="G438">
        <v>-10.061359756808599</v>
      </c>
      <c r="H438">
        <v>3000</v>
      </c>
      <c r="I438">
        <v>356</v>
      </c>
      <c r="J438">
        <v>145</v>
      </c>
      <c r="K438" t="str">
        <f t="shared" si="18"/>
        <v>Los Angeles → Sydney</v>
      </c>
      <c r="L438" s="5">
        <f t="shared" si="19"/>
        <v>44.5</v>
      </c>
      <c r="M438" s="7">
        <f t="shared" si="20"/>
        <v>51620</v>
      </c>
      <c r="N438" s="7"/>
      <c r="O438" s="7"/>
    </row>
    <row r="439" spans="1:15" x14ac:dyDescent="0.25">
      <c r="A439" t="s">
        <v>447</v>
      </c>
      <c r="B439" t="s">
        <v>6</v>
      </c>
      <c r="C439" t="s">
        <v>15</v>
      </c>
      <c r="D439">
        <v>7</v>
      </c>
      <c r="E439">
        <v>35000</v>
      </c>
      <c r="F439">
        <v>-122.233458862359</v>
      </c>
      <c r="G439">
        <v>5.7369179709029803</v>
      </c>
      <c r="H439">
        <v>2500</v>
      </c>
      <c r="I439">
        <v>300</v>
      </c>
      <c r="J439">
        <v>200</v>
      </c>
      <c r="K439" t="str">
        <f t="shared" si="18"/>
        <v>Chicago → London</v>
      </c>
      <c r="L439" s="5">
        <f t="shared" si="19"/>
        <v>42.857142857142854</v>
      </c>
      <c r="M439" s="7">
        <f t="shared" si="20"/>
        <v>60000</v>
      </c>
      <c r="N439" s="7"/>
      <c r="O439" s="7"/>
    </row>
    <row r="440" spans="1:15" x14ac:dyDescent="0.25">
      <c r="A440" t="s">
        <v>448</v>
      </c>
      <c r="B440" t="s">
        <v>1</v>
      </c>
      <c r="C440" t="s">
        <v>13</v>
      </c>
      <c r="D440">
        <v>7</v>
      </c>
      <c r="E440">
        <v>30000</v>
      </c>
      <c r="F440">
        <v>-154.622899568468</v>
      </c>
      <c r="G440">
        <v>67.251335172698802</v>
      </c>
      <c r="H440">
        <v>2000</v>
      </c>
      <c r="I440">
        <v>300</v>
      </c>
      <c r="J440">
        <v>100</v>
      </c>
      <c r="K440" t="str">
        <f t="shared" si="18"/>
        <v>Houston → Paris</v>
      </c>
      <c r="L440" s="5">
        <f t="shared" si="19"/>
        <v>42.857142857142854</v>
      </c>
      <c r="M440" s="7">
        <f t="shared" si="20"/>
        <v>30000</v>
      </c>
      <c r="N440" s="7"/>
      <c r="O440" s="7"/>
    </row>
    <row r="441" spans="1:15" x14ac:dyDescent="0.25">
      <c r="A441" t="s">
        <v>449</v>
      </c>
      <c r="B441" t="s">
        <v>28</v>
      </c>
      <c r="C441" t="s">
        <v>9</v>
      </c>
      <c r="D441">
        <v>9</v>
      </c>
      <c r="E441">
        <v>30000</v>
      </c>
      <c r="F441">
        <v>-113.167186235553</v>
      </c>
      <c r="G441">
        <v>89.202402088323794</v>
      </c>
      <c r="H441">
        <v>2800</v>
      </c>
      <c r="I441">
        <v>356</v>
      </c>
      <c r="J441">
        <v>120</v>
      </c>
      <c r="K441" t="str">
        <f t="shared" si="18"/>
        <v>New York → Sydney</v>
      </c>
      <c r="L441" s="5">
        <f t="shared" si="19"/>
        <v>39.555555555555557</v>
      </c>
      <c r="M441" s="7">
        <f t="shared" si="20"/>
        <v>42720</v>
      </c>
      <c r="N441" s="7"/>
      <c r="O441" s="7"/>
    </row>
    <row r="442" spans="1:15" x14ac:dyDescent="0.25">
      <c r="A442" t="s">
        <v>450</v>
      </c>
      <c r="B442" t="s">
        <v>28</v>
      </c>
      <c r="C442" t="s">
        <v>9</v>
      </c>
      <c r="D442">
        <v>9</v>
      </c>
      <c r="E442">
        <v>30000</v>
      </c>
      <c r="F442">
        <v>59.118978596028597</v>
      </c>
      <c r="G442">
        <v>14.8886008820427</v>
      </c>
      <c r="H442">
        <v>2800</v>
      </c>
      <c r="I442">
        <v>356</v>
      </c>
      <c r="J442">
        <v>120</v>
      </c>
      <c r="K442" t="str">
        <f t="shared" si="18"/>
        <v>New York → Sydney</v>
      </c>
      <c r="L442" s="5">
        <f t="shared" si="19"/>
        <v>39.555555555555557</v>
      </c>
      <c r="M442" s="7">
        <f t="shared" si="20"/>
        <v>42720</v>
      </c>
      <c r="N442" s="7"/>
      <c r="O442" s="7"/>
    </row>
    <row r="443" spans="1:15" x14ac:dyDescent="0.25">
      <c r="A443" t="s">
        <v>451</v>
      </c>
      <c r="B443" t="s">
        <v>4</v>
      </c>
      <c r="C443" t="s">
        <v>20</v>
      </c>
      <c r="D443">
        <v>12</v>
      </c>
      <c r="E443">
        <v>30000</v>
      </c>
      <c r="F443">
        <v>137.40862026366301</v>
      </c>
      <c r="G443">
        <v>56.2452877879509</v>
      </c>
      <c r="H443">
        <v>2500</v>
      </c>
      <c r="I443">
        <v>150</v>
      </c>
      <c r="J443">
        <v>200</v>
      </c>
      <c r="K443" t="str">
        <f t="shared" si="18"/>
        <v>Miami → Dubai</v>
      </c>
      <c r="L443" s="5">
        <f t="shared" si="19"/>
        <v>12.5</v>
      </c>
      <c r="M443" s="7">
        <f t="shared" si="20"/>
        <v>30000</v>
      </c>
      <c r="N443" s="7"/>
      <c r="O443" s="7"/>
    </row>
    <row r="444" spans="1:15" x14ac:dyDescent="0.25">
      <c r="A444" t="s">
        <v>452</v>
      </c>
      <c r="B444" t="s">
        <v>6</v>
      </c>
      <c r="C444" t="s">
        <v>13</v>
      </c>
      <c r="D444">
        <v>10</v>
      </c>
      <c r="E444">
        <v>30000</v>
      </c>
      <c r="F444">
        <v>113.085246812818</v>
      </c>
      <c r="G444">
        <v>-31.150615619398501</v>
      </c>
      <c r="H444">
        <v>2928</v>
      </c>
      <c r="I444">
        <v>354</v>
      </c>
      <c r="J444">
        <v>121</v>
      </c>
      <c r="K444" t="str">
        <f t="shared" si="18"/>
        <v>Chicago → Paris</v>
      </c>
      <c r="L444" s="5">
        <f t="shared" si="19"/>
        <v>35.4</v>
      </c>
      <c r="M444" s="7">
        <f t="shared" si="20"/>
        <v>42834</v>
      </c>
      <c r="N444" s="7"/>
      <c r="O444" s="7"/>
    </row>
    <row r="445" spans="1:15" x14ac:dyDescent="0.25">
      <c r="A445" t="s">
        <v>453</v>
      </c>
      <c r="B445" t="s">
        <v>6</v>
      </c>
      <c r="C445" t="s">
        <v>20</v>
      </c>
      <c r="D445">
        <v>7</v>
      </c>
      <c r="E445">
        <v>32000</v>
      </c>
      <c r="F445">
        <v>66.648351554814298</v>
      </c>
      <c r="G445">
        <v>-34.966087659487599</v>
      </c>
      <c r="H445">
        <v>2000</v>
      </c>
      <c r="I445">
        <v>450</v>
      </c>
      <c r="J445">
        <v>150</v>
      </c>
      <c r="K445" t="str">
        <f t="shared" si="18"/>
        <v>Chicago → Dubai</v>
      </c>
      <c r="L445" s="5">
        <f t="shared" si="19"/>
        <v>64.285714285714292</v>
      </c>
      <c r="M445" s="7">
        <f t="shared" si="20"/>
        <v>67500</v>
      </c>
      <c r="N445" s="7"/>
      <c r="O445" s="7"/>
    </row>
    <row r="446" spans="1:15" x14ac:dyDescent="0.25">
      <c r="A446" t="s">
        <v>454</v>
      </c>
      <c r="B446" t="s">
        <v>4</v>
      </c>
      <c r="C446" t="s">
        <v>13</v>
      </c>
      <c r="D446">
        <v>9</v>
      </c>
      <c r="E446">
        <v>35000</v>
      </c>
      <c r="F446">
        <v>-140.24452917200301</v>
      </c>
      <c r="G446">
        <v>-17.513330220979199</v>
      </c>
      <c r="H446">
        <v>3000</v>
      </c>
      <c r="I446">
        <v>354</v>
      </c>
      <c r="J446">
        <v>200</v>
      </c>
      <c r="K446" t="str">
        <f t="shared" si="18"/>
        <v>Miami → Paris</v>
      </c>
      <c r="L446" s="5">
        <f t="shared" si="19"/>
        <v>39.333333333333336</v>
      </c>
      <c r="M446" s="7">
        <f t="shared" si="20"/>
        <v>70800</v>
      </c>
      <c r="N446" s="7"/>
      <c r="O446" s="7"/>
    </row>
    <row r="447" spans="1:15" x14ac:dyDescent="0.25">
      <c r="A447" t="s">
        <v>455</v>
      </c>
      <c r="B447" t="s">
        <v>1</v>
      </c>
      <c r="C447" t="s">
        <v>20</v>
      </c>
      <c r="D447">
        <v>8</v>
      </c>
      <c r="E447">
        <v>30000</v>
      </c>
      <c r="F447">
        <v>-75.892519333458097</v>
      </c>
      <c r="G447">
        <v>31.051307281256801</v>
      </c>
      <c r="H447">
        <v>2500</v>
      </c>
      <c r="I447">
        <v>402</v>
      </c>
      <c r="J447">
        <v>111</v>
      </c>
      <c r="K447" t="str">
        <f t="shared" si="18"/>
        <v>Houston → Dubai</v>
      </c>
      <c r="L447" s="5">
        <f t="shared" si="19"/>
        <v>50.25</v>
      </c>
      <c r="M447" s="7">
        <f t="shared" si="20"/>
        <v>44622</v>
      </c>
      <c r="N447" s="7"/>
      <c r="O447" s="7"/>
    </row>
    <row r="448" spans="1:15" x14ac:dyDescent="0.25">
      <c r="A448" t="s">
        <v>456</v>
      </c>
      <c r="B448" t="s">
        <v>6</v>
      </c>
      <c r="C448" t="s">
        <v>9</v>
      </c>
      <c r="D448">
        <v>15</v>
      </c>
      <c r="E448">
        <v>35000</v>
      </c>
      <c r="F448">
        <v>-68.469524883911205</v>
      </c>
      <c r="G448">
        <v>32.794504065917799</v>
      </c>
      <c r="H448">
        <v>2000</v>
      </c>
      <c r="I448">
        <v>150</v>
      </c>
      <c r="J448">
        <v>137</v>
      </c>
      <c r="K448" t="str">
        <f t="shared" si="18"/>
        <v>Chicago → Sydney</v>
      </c>
      <c r="L448" s="5">
        <f t="shared" si="19"/>
        <v>10</v>
      </c>
      <c r="M448" s="7">
        <f t="shared" si="20"/>
        <v>20550</v>
      </c>
      <c r="N448" s="7"/>
      <c r="O448" s="7"/>
    </row>
    <row r="449" spans="1:15" x14ac:dyDescent="0.25">
      <c r="A449" t="s">
        <v>457</v>
      </c>
      <c r="B449" t="s">
        <v>28</v>
      </c>
      <c r="C449" t="s">
        <v>9</v>
      </c>
      <c r="D449">
        <v>9</v>
      </c>
      <c r="E449">
        <v>30000</v>
      </c>
      <c r="F449">
        <v>-90.015499296856404</v>
      </c>
      <c r="G449">
        <v>-33.256901763098902</v>
      </c>
      <c r="H449">
        <v>3500</v>
      </c>
      <c r="I449">
        <v>300</v>
      </c>
      <c r="J449">
        <v>100</v>
      </c>
      <c r="K449" t="str">
        <f t="shared" si="18"/>
        <v>New York → Sydney</v>
      </c>
      <c r="L449" s="5">
        <f t="shared" si="19"/>
        <v>33.333333333333336</v>
      </c>
      <c r="M449" s="7">
        <f t="shared" si="20"/>
        <v>30000</v>
      </c>
      <c r="N449" s="7"/>
      <c r="O449" s="7"/>
    </row>
    <row r="450" spans="1:15" x14ac:dyDescent="0.25">
      <c r="A450" t="s">
        <v>458</v>
      </c>
      <c r="B450" t="s">
        <v>28</v>
      </c>
      <c r="C450" t="s">
        <v>15</v>
      </c>
      <c r="D450">
        <v>9</v>
      </c>
      <c r="E450">
        <v>30000</v>
      </c>
      <c r="F450">
        <v>5.4020374955003101</v>
      </c>
      <c r="G450">
        <v>-66.022213655406802</v>
      </c>
      <c r="H450">
        <v>2760</v>
      </c>
      <c r="I450">
        <v>374</v>
      </c>
      <c r="J450">
        <v>107</v>
      </c>
      <c r="K450" t="str">
        <f t="shared" si="18"/>
        <v>New York → London</v>
      </c>
      <c r="L450" s="5">
        <f t="shared" si="19"/>
        <v>41.555555555555557</v>
      </c>
      <c r="M450" s="7">
        <f t="shared" si="20"/>
        <v>40018</v>
      </c>
      <c r="N450" s="7"/>
      <c r="O450" s="7"/>
    </row>
    <row r="451" spans="1:15" x14ac:dyDescent="0.25">
      <c r="A451" t="s">
        <v>459</v>
      </c>
      <c r="B451" t="s">
        <v>11</v>
      </c>
      <c r="C451" t="s">
        <v>20</v>
      </c>
      <c r="D451">
        <v>11</v>
      </c>
      <c r="E451">
        <v>30000</v>
      </c>
      <c r="F451">
        <v>12.7993733566821</v>
      </c>
      <c r="G451">
        <v>23.831326163791498</v>
      </c>
      <c r="H451">
        <v>2794</v>
      </c>
      <c r="I451">
        <v>402</v>
      </c>
      <c r="J451">
        <v>113</v>
      </c>
      <c r="K451" t="str">
        <f t="shared" ref="K451:K514" si="21">B451 &amp; " → " &amp; C451</f>
        <v>Los Angeles → Dubai</v>
      </c>
      <c r="L451" s="5">
        <f t="shared" ref="L451:L514" si="22">I451/D451</f>
        <v>36.545454545454547</v>
      </c>
      <c r="M451" s="7">
        <f t="shared" ref="M451:M514" si="23">I451*J451</f>
        <v>45426</v>
      </c>
      <c r="N451" s="7"/>
      <c r="O451" s="7"/>
    </row>
    <row r="452" spans="1:15" x14ac:dyDescent="0.25">
      <c r="A452" t="s">
        <v>460</v>
      </c>
      <c r="B452" t="s">
        <v>6</v>
      </c>
      <c r="C452" t="s">
        <v>2</v>
      </c>
      <c r="D452">
        <v>8</v>
      </c>
      <c r="E452">
        <v>30000</v>
      </c>
      <c r="F452">
        <v>-51.521048938400298</v>
      </c>
      <c r="G452">
        <v>-66.901344806022394</v>
      </c>
      <c r="H452">
        <v>2583</v>
      </c>
      <c r="I452">
        <v>397</v>
      </c>
      <c r="J452">
        <v>133</v>
      </c>
      <c r="K452" t="str">
        <f t="shared" si="21"/>
        <v>Chicago → Tokyo</v>
      </c>
      <c r="L452" s="5">
        <f t="shared" si="22"/>
        <v>49.625</v>
      </c>
      <c r="M452" s="7">
        <f t="shared" si="23"/>
        <v>52801</v>
      </c>
      <c r="N452" s="7"/>
      <c r="O452" s="7"/>
    </row>
    <row r="453" spans="1:15" x14ac:dyDescent="0.25">
      <c r="A453" t="s">
        <v>461</v>
      </c>
      <c r="B453" t="s">
        <v>1</v>
      </c>
      <c r="C453" t="s">
        <v>15</v>
      </c>
      <c r="D453">
        <v>8</v>
      </c>
      <c r="E453">
        <v>30000</v>
      </c>
      <c r="F453">
        <v>-52.635902854883</v>
      </c>
      <c r="G453">
        <v>14.1286514812794</v>
      </c>
      <c r="H453">
        <v>2846</v>
      </c>
      <c r="I453">
        <v>374</v>
      </c>
      <c r="J453">
        <v>138</v>
      </c>
      <c r="K453" t="str">
        <f t="shared" si="21"/>
        <v>Houston → London</v>
      </c>
      <c r="L453" s="5">
        <f t="shared" si="22"/>
        <v>46.75</v>
      </c>
      <c r="M453" s="7">
        <f t="shared" si="23"/>
        <v>51612</v>
      </c>
      <c r="N453" s="7"/>
      <c r="O453" s="7"/>
    </row>
    <row r="454" spans="1:15" x14ac:dyDescent="0.25">
      <c r="A454" t="s">
        <v>462</v>
      </c>
      <c r="B454" t="s">
        <v>4</v>
      </c>
      <c r="C454" t="s">
        <v>20</v>
      </c>
      <c r="D454">
        <v>9</v>
      </c>
      <c r="E454">
        <v>30000</v>
      </c>
      <c r="F454">
        <v>118.280015246189</v>
      </c>
      <c r="G454">
        <v>34.8159830501356</v>
      </c>
      <c r="H454">
        <v>2500</v>
      </c>
      <c r="I454">
        <v>402</v>
      </c>
      <c r="J454">
        <v>150</v>
      </c>
      <c r="K454" t="str">
        <f t="shared" si="21"/>
        <v>Miami → Dubai</v>
      </c>
      <c r="L454" s="5">
        <f t="shared" si="22"/>
        <v>44.666666666666664</v>
      </c>
      <c r="M454" s="7">
        <f t="shared" si="23"/>
        <v>60300</v>
      </c>
      <c r="N454" s="7"/>
      <c r="O454" s="7"/>
    </row>
    <row r="455" spans="1:15" x14ac:dyDescent="0.25">
      <c r="A455" t="s">
        <v>463</v>
      </c>
      <c r="B455" t="s">
        <v>4</v>
      </c>
      <c r="C455" t="s">
        <v>20</v>
      </c>
      <c r="D455">
        <v>9</v>
      </c>
      <c r="E455">
        <v>30000</v>
      </c>
      <c r="F455">
        <v>104.145425395087</v>
      </c>
      <c r="G455">
        <v>36.1100693510013</v>
      </c>
      <c r="H455">
        <v>2700</v>
      </c>
      <c r="I455">
        <v>402</v>
      </c>
      <c r="J455">
        <v>128</v>
      </c>
      <c r="K455" t="str">
        <f t="shared" si="21"/>
        <v>Miami → Dubai</v>
      </c>
      <c r="L455" s="5">
        <f t="shared" si="22"/>
        <v>44.666666666666664</v>
      </c>
      <c r="M455" s="7">
        <f t="shared" si="23"/>
        <v>51456</v>
      </c>
      <c r="N455" s="7"/>
      <c r="O455" s="7"/>
    </row>
    <row r="456" spans="1:15" x14ac:dyDescent="0.25">
      <c r="A456" t="s">
        <v>464</v>
      </c>
      <c r="B456" t="s">
        <v>1</v>
      </c>
      <c r="C456" t="s">
        <v>15</v>
      </c>
      <c r="D456">
        <v>9</v>
      </c>
      <c r="E456">
        <v>30000</v>
      </c>
      <c r="F456">
        <v>-69.193500594931606</v>
      </c>
      <c r="G456">
        <v>45.624979918727398</v>
      </c>
      <c r="H456">
        <v>2846</v>
      </c>
      <c r="I456">
        <v>150</v>
      </c>
      <c r="J456">
        <v>150</v>
      </c>
      <c r="K456" t="str">
        <f t="shared" si="21"/>
        <v>Houston → London</v>
      </c>
      <c r="L456" s="5">
        <f t="shared" si="22"/>
        <v>16.666666666666668</v>
      </c>
      <c r="M456" s="7">
        <f t="shared" si="23"/>
        <v>22500</v>
      </c>
      <c r="N456" s="7"/>
      <c r="O456" s="7"/>
    </row>
    <row r="457" spans="1:15" x14ac:dyDescent="0.25">
      <c r="A457" t="s">
        <v>465</v>
      </c>
      <c r="B457" t="s">
        <v>11</v>
      </c>
      <c r="C457" t="s">
        <v>9</v>
      </c>
      <c r="D457">
        <v>15</v>
      </c>
      <c r="E457">
        <v>30000</v>
      </c>
      <c r="F457">
        <v>148.963839794373</v>
      </c>
      <c r="G457">
        <v>67.1146958818196</v>
      </c>
      <c r="H457">
        <v>2500</v>
      </c>
      <c r="I457">
        <v>300</v>
      </c>
      <c r="J457">
        <v>145</v>
      </c>
      <c r="K457" t="str">
        <f t="shared" si="21"/>
        <v>Los Angeles → Sydney</v>
      </c>
      <c r="L457" s="5">
        <f t="shared" si="22"/>
        <v>20</v>
      </c>
      <c r="M457" s="7">
        <f t="shared" si="23"/>
        <v>43500</v>
      </c>
      <c r="N457" s="7"/>
      <c r="O457" s="7"/>
    </row>
    <row r="458" spans="1:15" x14ac:dyDescent="0.25">
      <c r="A458" t="s">
        <v>466</v>
      </c>
      <c r="B458" t="s">
        <v>4</v>
      </c>
      <c r="C458" t="s">
        <v>20</v>
      </c>
      <c r="D458">
        <v>9</v>
      </c>
      <c r="E458">
        <v>32000</v>
      </c>
      <c r="F458">
        <v>163.013406120902</v>
      </c>
      <c r="G458">
        <v>-7.38144633808702E-3</v>
      </c>
      <c r="H458">
        <v>3500</v>
      </c>
      <c r="I458">
        <v>402</v>
      </c>
      <c r="J458">
        <v>128</v>
      </c>
      <c r="K458" t="str">
        <f t="shared" si="21"/>
        <v>Miami → Dubai</v>
      </c>
      <c r="L458" s="5">
        <f t="shared" si="22"/>
        <v>44.666666666666664</v>
      </c>
      <c r="M458" s="7">
        <f t="shared" si="23"/>
        <v>51456</v>
      </c>
      <c r="N458" s="7"/>
      <c r="O458" s="7"/>
    </row>
    <row r="459" spans="1:15" x14ac:dyDescent="0.25">
      <c r="A459" t="s">
        <v>467</v>
      </c>
      <c r="B459" t="s">
        <v>6</v>
      </c>
      <c r="C459" t="s">
        <v>9</v>
      </c>
      <c r="D459">
        <v>12</v>
      </c>
      <c r="E459">
        <v>35000</v>
      </c>
      <c r="F459">
        <v>-62.372684869185299</v>
      </c>
      <c r="G459">
        <v>41.444854115322798</v>
      </c>
      <c r="H459">
        <v>3000</v>
      </c>
      <c r="I459">
        <v>356</v>
      </c>
      <c r="J459">
        <v>50</v>
      </c>
      <c r="K459" t="str">
        <f t="shared" si="21"/>
        <v>Chicago → Sydney</v>
      </c>
      <c r="L459" s="5">
        <f t="shared" si="22"/>
        <v>29.666666666666668</v>
      </c>
      <c r="M459" s="7">
        <f t="shared" si="23"/>
        <v>17800</v>
      </c>
      <c r="N459" s="7"/>
      <c r="O459" s="7"/>
    </row>
    <row r="460" spans="1:15" x14ac:dyDescent="0.25">
      <c r="A460" t="s">
        <v>468</v>
      </c>
      <c r="B460" t="s">
        <v>11</v>
      </c>
      <c r="C460" t="s">
        <v>15</v>
      </c>
      <c r="D460">
        <v>5</v>
      </c>
      <c r="E460">
        <v>30000</v>
      </c>
      <c r="F460">
        <v>-52.407018434500202</v>
      </c>
      <c r="G460">
        <v>21.451092365850599</v>
      </c>
      <c r="H460">
        <v>3000</v>
      </c>
      <c r="I460">
        <v>600</v>
      </c>
      <c r="J460">
        <v>100</v>
      </c>
      <c r="K460" t="str">
        <f t="shared" si="21"/>
        <v>Los Angeles → London</v>
      </c>
      <c r="L460" s="5">
        <f t="shared" si="22"/>
        <v>120</v>
      </c>
      <c r="M460" s="7">
        <f t="shared" si="23"/>
        <v>60000</v>
      </c>
      <c r="N460" s="7"/>
      <c r="O460" s="7"/>
    </row>
    <row r="461" spans="1:15" x14ac:dyDescent="0.25">
      <c r="A461" t="s">
        <v>469</v>
      </c>
      <c r="B461" t="s">
        <v>6</v>
      </c>
      <c r="C461" t="s">
        <v>9</v>
      </c>
      <c r="D461">
        <v>15</v>
      </c>
      <c r="E461">
        <v>35000</v>
      </c>
      <c r="F461">
        <v>2.0282952319051901</v>
      </c>
      <c r="G461">
        <v>-56.404810836417099</v>
      </c>
      <c r="H461">
        <v>2500</v>
      </c>
      <c r="I461">
        <v>150</v>
      </c>
      <c r="J461">
        <v>100</v>
      </c>
      <c r="K461" t="str">
        <f t="shared" si="21"/>
        <v>Chicago → Sydney</v>
      </c>
      <c r="L461" s="5">
        <f t="shared" si="22"/>
        <v>10</v>
      </c>
      <c r="M461" s="7">
        <f t="shared" si="23"/>
        <v>15000</v>
      </c>
      <c r="N461" s="7"/>
      <c r="O461" s="7"/>
    </row>
    <row r="462" spans="1:15" x14ac:dyDescent="0.25">
      <c r="A462" t="s">
        <v>470</v>
      </c>
      <c r="B462" t="s">
        <v>28</v>
      </c>
      <c r="C462" t="s">
        <v>13</v>
      </c>
      <c r="D462">
        <v>7</v>
      </c>
      <c r="E462">
        <v>30000</v>
      </c>
      <c r="F462">
        <v>158.80349251212201</v>
      </c>
      <c r="G462">
        <v>-85.3758639235065</v>
      </c>
      <c r="H462">
        <v>2847</v>
      </c>
      <c r="I462">
        <v>450</v>
      </c>
      <c r="J462">
        <v>200</v>
      </c>
      <c r="K462" t="str">
        <f t="shared" si="21"/>
        <v>New York → Paris</v>
      </c>
      <c r="L462" s="5">
        <f t="shared" si="22"/>
        <v>64.285714285714292</v>
      </c>
      <c r="M462" s="7">
        <f t="shared" si="23"/>
        <v>90000</v>
      </c>
      <c r="N462" s="7"/>
      <c r="O462" s="7"/>
    </row>
    <row r="463" spans="1:15" x14ac:dyDescent="0.25">
      <c r="A463" t="s">
        <v>471</v>
      </c>
      <c r="B463" t="s">
        <v>11</v>
      </c>
      <c r="C463" t="s">
        <v>2</v>
      </c>
      <c r="D463">
        <v>7</v>
      </c>
      <c r="E463">
        <v>30000</v>
      </c>
      <c r="F463">
        <v>135.474995931232</v>
      </c>
      <c r="G463">
        <v>-38.782550578151898</v>
      </c>
      <c r="H463">
        <v>2500</v>
      </c>
      <c r="I463">
        <v>150</v>
      </c>
      <c r="J463">
        <v>119</v>
      </c>
      <c r="K463" t="str">
        <f t="shared" si="21"/>
        <v>Los Angeles → Tokyo</v>
      </c>
      <c r="L463" s="5">
        <f t="shared" si="22"/>
        <v>21.428571428571427</v>
      </c>
      <c r="M463" s="7">
        <f t="shared" si="23"/>
        <v>17850</v>
      </c>
      <c r="N463" s="7"/>
      <c r="O463" s="7"/>
    </row>
    <row r="464" spans="1:15" x14ac:dyDescent="0.25">
      <c r="A464" t="s">
        <v>472</v>
      </c>
      <c r="B464" t="s">
        <v>4</v>
      </c>
      <c r="C464" t="s">
        <v>20</v>
      </c>
      <c r="D464">
        <v>9</v>
      </c>
      <c r="E464">
        <v>30000</v>
      </c>
      <c r="F464">
        <v>-143.07553346990801</v>
      </c>
      <c r="G464">
        <v>-10.253932859228501</v>
      </c>
      <c r="H464">
        <v>2700</v>
      </c>
      <c r="I464">
        <v>402</v>
      </c>
      <c r="J464">
        <v>128</v>
      </c>
      <c r="K464" t="str">
        <f t="shared" si="21"/>
        <v>Miami → Dubai</v>
      </c>
      <c r="L464" s="5">
        <f t="shared" si="22"/>
        <v>44.666666666666664</v>
      </c>
      <c r="M464" s="7">
        <f t="shared" si="23"/>
        <v>51456</v>
      </c>
      <c r="N464" s="7"/>
      <c r="O464" s="7"/>
    </row>
    <row r="465" spans="1:15" x14ac:dyDescent="0.25">
      <c r="A465" t="s">
        <v>473</v>
      </c>
      <c r="B465" t="s">
        <v>11</v>
      </c>
      <c r="C465" t="s">
        <v>2</v>
      </c>
      <c r="D465">
        <v>12</v>
      </c>
      <c r="E465">
        <v>30000</v>
      </c>
      <c r="F465">
        <v>-38.616932422290198</v>
      </c>
      <c r="G465">
        <v>21.079069997158101</v>
      </c>
      <c r="H465">
        <v>3500</v>
      </c>
      <c r="I465">
        <v>300</v>
      </c>
      <c r="J465">
        <v>150</v>
      </c>
      <c r="K465" t="str">
        <f t="shared" si="21"/>
        <v>Los Angeles → Tokyo</v>
      </c>
      <c r="L465" s="5">
        <f t="shared" si="22"/>
        <v>25</v>
      </c>
      <c r="M465" s="7">
        <f t="shared" si="23"/>
        <v>45000</v>
      </c>
      <c r="N465" s="7"/>
      <c r="O465" s="7"/>
    </row>
    <row r="466" spans="1:15" x14ac:dyDescent="0.25">
      <c r="A466" t="s">
        <v>474</v>
      </c>
      <c r="B466" t="s">
        <v>11</v>
      </c>
      <c r="C466" t="s">
        <v>9</v>
      </c>
      <c r="D466">
        <v>8</v>
      </c>
      <c r="E466">
        <v>30000</v>
      </c>
      <c r="F466">
        <v>19.213628309917901</v>
      </c>
      <c r="G466">
        <v>62.992679490576997</v>
      </c>
      <c r="H466">
        <v>3000</v>
      </c>
      <c r="I466">
        <v>356</v>
      </c>
      <c r="J466">
        <v>145</v>
      </c>
      <c r="K466" t="str">
        <f t="shared" si="21"/>
        <v>Los Angeles → Sydney</v>
      </c>
      <c r="L466" s="5">
        <f t="shared" si="22"/>
        <v>44.5</v>
      </c>
      <c r="M466" s="7">
        <f t="shared" si="23"/>
        <v>51620</v>
      </c>
      <c r="N466" s="7"/>
      <c r="O466" s="7"/>
    </row>
    <row r="467" spans="1:15" x14ac:dyDescent="0.25">
      <c r="A467" t="s">
        <v>475</v>
      </c>
      <c r="B467" t="s">
        <v>11</v>
      </c>
      <c r="C467" t="s">
        <v>20</v>
      </c>
      <c r="D467">
        <v>11</v>
      </c>
      <c r="E467">
        <v>30000</v>
      </c>
      <c r="F467">
        <v>1.1276901185544299</v>
      </c>
      <c r="G467">
        <v>-54.6757709928902</v>
      </c>
      <c r="H467">
        <v>2794</v>
      </c>
      <c r="I467">
        <v>402</v>
      </c>
      <c r="J467">
        <v>113</v>
      </c>
      <c r="K467" t="str">
        <f t="shared" si="21"/>
        <v>Los Angeles → Dubai</v>
      </c>
      <c r="L467" s="5">
        <f t="shared" si="22"/>
        <v>36.545454545454547</v>
      </c>
      <c r="M467" s="7">
        <f t="shared" si="23"/>
        <v>45426</v>
      </c>
      <c r="N467" s="7"/>
      <c r="O467" s="7"/>
    </row>
    <row r="468" spans="1:15" x14ac:dyDescent="0.25">
      <c r="A468" t="s">
        <v>476</v>
      </c>
      <c r="B468" t="s">
        <v>11</v>
      </c>
      <c r="C468" t="s">
        <v>9</v>
      </c>
      <c r="D468">
        <v>5</v>
      </c>
      <c r="E468">
        <v>30000</v>
      </c>
      <c r="F468">
        <v>-110.209295542719</v>
      </c>
      <c r="G468">
        <v>-67.401037818274105</v>
      </c>
      <c r="H468">
        <v>3500</v>
      </c>
      <c r="I468">
        <v>300</v>
      </c>
      <c r="J468">
        <v>150</v>
      </c>
      <c r="K468" t="str">
        <f t="shared" si="21"/>
        <v>Los Angeles → Sydney</v>
      </c>
      <c r="L468" s="5">
        <f t="shared" si="22"/>
        <v>60</v>
      </c>
      <c r="M468" s="7">
        <f t="shared" si="23"/>
        <v>45000</v>
      </c>
      <c r="N468" s="7"/>
      <c r="O468" s="7"/>
    </row>
    <row r="469" spans="1:15" x14ac:dyDescent="0.25">
      <c r="A469" t="s">
        <v>477</v>
      </c>
      <c r="B469" t="s">
        <v>6</v>
      </c>
      <c r="C469" t="s">
        <v>13</v>
      </c>
      <c r="D469">
        <v>12</v>
      </c>
      <c r="E469">
        <v>32000</v>
      </c>
      <c r="F469">
        <v>129.17403762053601</v>
      </c>
      <c r="G469">
        <v>83.426390545378993</v>
      </c>
      <c r="H469">
        <v>2000</v>
      </c>
      <c r="I469">
        <v>354</v>
      </c>
      <c r="J469">
        <v>100</v>
      </c>
      <c r="K469" t="str">
        <f t="shared" si="21"/>
        <v>Chicago → Paris</v>
      </c>
      <c r="L469" s="5">
        <f t="shared" si="22"/>
        <v>29.5</v>
      </c>
      <c r="M469" s="7">
        <f t="shared" si="23"/>
        <v>35400</v>
      </c>
      <c r="N469" s="7"/>
      <c r="O469" s="7"/>
    </row>
    <row r="470" spans="1:15" x14ac:dyDescent="0.25">
      <c r="A470" t="s">
        <v>478</v>
      </c>
      <c r="B470" t="s">
        <v>28</v>
      </c>
      <c r="C470" t="s">
        <v>15</v>
      </c>
      <c r="D470">
        <v>9</v>
      </c>
      <c r="E470">
        <v>30000</v>
      </c>
      <c r="F470">
        <v>63.6986818788614</v>
      </c>
      <c r="G470">
        <v>-70.551979312246701</v>
      </c>
      <c r="H470">
        <v>2760</v>
      </c>
      <c r="I470">
        <v>374</v>
      </c>
      <c r="J470">
        <v>107</v>
      </c>
      <c r="K470" t="str">
        <f t="shared" si="21"/>
        <v>New York → London</v>
      </c>
      <c r="L470" s="5">
        <f t="shared" si="22"/>
        <v>41.555555555555557</v>
      </c>
      <c r="M470" s="7">
        <f t="shared" si="23"/>
        <v>40018</v>
      </c>
      <c r="N470" s="7"/>
      <c r="O470" s="7"/>
    </row>
    <row r="471" spans="1:15" x14ac:dyDescent="0.25">
      <c r="A471" t="s">
        <v>479</v>
      </c>
      <c r="B471" t="s">
        <v>1</v>
      </c>
      <c r="C471" t="s">
        <v>20</v>
      </c>
      <c r="D471">
        <v>7</v>
      </c>
      <c r="E471">
        <v>35000</v>
      </c>
      <c r="F471">
        <v>121.64701494664899</v>
      </c>
      <c r="G471">
        <v>-3.8716073807059499</v>
      </c>
      <c r="H471">
        <v>2500</v>
      </c>
      <c r="I471">
        <v>300</v>
      </c>
      <c r="J471">
        <v>100</v>
      </c>
      <c r="K471" t="str">
        <f t="shared" si="21"/>
        <v>Houston → Dubai</v>
      </c>
      <c r="L471" s="5">
        <f t="shared" si="22"/>
        <v>42.857142857142854</v>
      </c>
      <c r="M471" s="7">
        <f t="shared" si="23"/>
        <v>30000</v>
      </c>
      <c r="N471" s="7"/>
      <c r="O471" s="7"/>
    </row>
    <row r="472" spans="1:15" x14ac:dyDescent="0.25">
      <c r="A472" t="s">
        <v>480</v>
      </c>
      <c r="B472" t="s">
        <v>11</v>
      </c>
      <c r="C472" t="s">
        <v>13</v>
      </c>
      <c r="D472">
        <v>7</v>
      </c>
      <c r="E472">
        <v>30000</v>
      </c>
      <c r="F472">
        <v>129.15514056581</v>
      </c>
      <c r="G472">
        <v>15.4014711827943</v>
      </c>
      <c r="H472">
        <v>2500</v>
      </c>
      <c r="I472">
        <v>150</v>
      </c>
      <c r="J472">
        <v>100</v>
      </c>
      <c r="K472" t="str">
        <f t="shared" si="21"/>
        <v>Los Angeles → Paris</v>
      </c>
      <c r="L472" s="5">
        <f t="shared" si="22"/>
        <v>21.428571428571427</v>
      </c>
      <c r="M472" s="7">
        <f t="shared" si="23"/>
        <v>15000</v>
      </c>
      <c r="N472" s="7"/>
      <c r="O472" s="7"/>
    </row>
    <row r="473" spans="1:15" x14ac:dyDescent="0.25">
      <c r="A473" t="s">
        <v>481</v>
      </c>
      <c r="B473" t="s">
        <v>4</v>
      </c>
      <c r="C473" t="s">
        <v>13</v>
      </c>
      <c r="D473">
        <v>9</v>
      </c>
      <c r="E473">
        <v>35000</v>
      </c>
      <c r="F473">
        <v>89.4081073196663</v>
      </c>
      <c r="G473">
        <v>7.4473957633388901</v>
      </c>
      <c r="H473">
        <v>2500</v>
      </c>
      <c r="I473">
        <v>150</v>
      </c>
      <c r="J473">
        <v>100</v>
      </c>
      <c r="K473" t="str">
        <f t="shared" si="21"/>
        <v>Miami → Paris</v>
      </c>
      <c r="L473" s="5">
        <f t="shared" si="22"/>
        <v>16.666666666666668</v>
      </c>
      <c r="M473" s="7">
        <f t="shared" si="23"/>
        <v>15000</v>
      </c>
      <c r="N473" s="7"/>
      <c r="O473" s="7"/>
    </row>
    <row r="474" spans="1:15" x14ac:dyDescent="0.25">
      <c r="A474" t="s">
        <v>482</v>
      </c>
      <c r="B474" t="s">
        <v>11</v>
      </c>
      <c r="C474" t="s">
        <v>20</v>
      </c>
      <c r="D474">
        <v>5</v>
      </c>
      <c r="E474">
        <v>30000</v>
      </c>
      <c r="F474">
        <v>-21.884183550101799</v>
      </c>
      <c r="G474">
        <v>-74.514211734070201</v>
      </c>
      <c r="H474">
        <v>3500</v>
      </c>
      <c r="I474">
        <v>300</v>
      </c>
      <c r="J474">
        <v>150</v>
      </c>
      <c r="K474" t="str">
        <f t="shared" si="21"/>
        <v>Los Angeles → Dubai</v>
      </c>
      <c r="L474" s="5">
        <f t="shared" si="22"/>
        <v>60</v>
      </c>
      <c r="M474" s="7">
        <f t="shared" si="23"/>
        <v>45000</v>
      </c>
      <c r="N474" s="7"/>
      <c r="O474" s="7"/>
    </row>
    <row r="475" spans="1:15" x14ac:dyDescent="0.25">
      <c r="A475" t="s">
        <v>483</v>
      </c>
      <c r="B475" t="s">
        <v>4</v>
      </c>
      <c r="C475" t="s">
        <v>9</v>
      </c>
      <c r="D475">
        <v>7</v>
      </c>
      <c r="E475">
        <v>32000</v>
      </c>
      <c r="F475">
        <v>39.796831805552799</v>
      </c>
      <c r="G475">
        <v>-79.735155479348506</v>
      </c>
      <c r="H475">
        <v>2000</v>
      </c>
      <c r="I475">
        <v>150</v>
      </c>
      <c r="J475">
        <v>50</v>
      </c>
      <c r="K475" t="str">
        <f t="shared" si="21"/>
        <v>Miami → Sydney</v>
      </c>
      <c r="L475" s="5">
        <f t="shared" si="22"/>
        <v>21.428571428571427</v>
      </c>
      <c r="M475" s="7">
        <f t="shared" si="23"/>
        <v>7500</v>
      </c>
      <c r="N475" s="7"/>
      <c r="O475" s="7"/>
    </row>
    <row r="476" spans="1:15" x14ac:dyDescent="0.25">
      <c r="A476" t="s">
        <v>484</v>
      </c>
      <c r="B476" t="s">
        <v>6</v>
      </c>
      <c r="C476" t="s">
        <v>13</v>
      </c>
      <c r="D476">
        <v>15</v>
      </c>
      <c r="E476">
        <v>35000</v>
      </c>
      <c r="F476">
        <v>-122.268453796893</v>
      </c>
      <c r="G476">
        <v>-71.012983057013599</v>
      </c>
      <c r="H476">
        <v>2928</v>
      </c>
      <c r="I476">
        <v>300</v>
      </c>
      <c r="J476">
        <v>121</v>
      </c>
      <c r="K476" t="str">
        <f t="shared" si="21"/>
        <v>Chicago → Paris</v>
      </c>
      <c r="L476" s="5">
        <f t="shared" si="22"/>
        <v>20</v>
      </c>
      <c r="M476" s="7">
        <f t="shared" si="23"/>
        <v>36300</v>
      </c>
      <c r="N476" s="7"/>
      <c r="O476" s="7"/>
    </row>
    <row r="477" spans="1:15" x14ac:dyDescent="0.25">
      <c r="A477" t="s">
        <v>485</v>
      </c>
      <c r="B477" t="s">
        <v>4</v>
      </c>
      <c r="C477" t="s">
        <v>2</v>
      </c>
      <c r="D477">
        <v>9</v>
      </c>
      <c r="E477">
        <v>32000</v>
      </c>
      <c r="F477">
        <v>62.512350290966801</v>
      </c>
      <c r="G477">
        <v>15.4057830970703</v>
      </c>
      <c r="H477">
        <v>2000</v>
      </c>
      <c r="I477">
        <v>300</v>
      </c>
      <c r="J477">
        <v>100</v>
      </c>
      <c r="K477" t="str">
        <f t="shared" si="21"/>
        <v>Miami → Tokyo</v>
      </c>
      <c r="L477" s="5">
        <f t="shared" si="22"/>
        <v>33.333333333333336</v>
      </c>
      <c r="M477" s="7">
        <f t="shared" si="23"/>
        <v>30000</v>
      </c>
      <c r="N477" s="7"/>
      <c r="O477" s="7"/>
    </row>
    <row r="478" spans="1:15" x14ac:dyDescent="0.25">
      <c r="A478" t="s">
        <v>486</v>
      </c>
      <c r="B478" t="s">
        <v>1</v>
      </c>
      <c r="C478" t="s">
        <v>13</v>
      </c>
      <c r="D478">
        <v>9</v>
      </c>
      <c r="E478">
        <v>30000</v>
      </c>
      <c r="F478">
        <v>-115.468827933859</v>
      </c>
      <c r="G478">
        <v>7.98207977417779</v>
      </c>
      <c r="H478">
        <v>3500</v>
      </c>
      <c r="I478">
        <v>300</v>
      </c>
      <c r="J478">
        <v>100</v>
      </c>
      <c r="K478" t="str">
        <f t="shared" si="21"/>
        <v>Houston → Paris</v>
      </c>
      <c r="L478" s="5">
        <f t="shared" si="22"/>
        <v>33.333333333333336</v>
      </c>
      <c r="M478" s="7">
        <f t="shared" si="23"/>
        <v>30000</v>
      </c>
      <c r="N478" s="7"/>
      <c r="O478" s="7"/>
    </row>
    <row r="479" spans="1:15" x14ac:dyDescent="0.25">
      <c r="A479" t="s">
        <v>487</v>
      </c>
      <c r="B479" t="s">
        <v>28</v>
      </c>
      <c r="C479" t="s">
        <v>9</v>
      </c>
      <c r="D479">
        <v>9</v>
      </c>
      <c r="E479">
        <v>30000</v>
      </c>
      <c r="F479">
        <v>69.821852583656494</v>
      </c>
      <c r="G479">
        <v>-47.926657433385998</v>
      </c>
      <c r="H479">
        <v>2800</v>
      </c>
      <c r="I479">
        <v>356</v>
      </c>
      <c r="J479">
        <v>120</v>
      </c>
      <c r="K479" t="str">
        <f t="shared" si="21"/>
        <v>New York → Sydney</v>
      </c>
      <c r="L479" s="5">
        <f t="shared" si="22"/>
        <v>39.555555555555557</v>
      </c>
      <c r="M479" s="7">
        <f t="shared" si="23"/>
        <v>42720</v>
      </c>
      <c r="N479" s="7"/>
      <c r="O479" s="7"/>
    </row>
    <row r="480" spans="1:15" x14ac:dyDescent="0.25">
      <c r="A480" t="s">
        <v>488</v>
      </c>
      <c r="B480" t="s">
        <v>4</v>
      </c>
      <c r="C480" t="s">
        <v>9</v>
      </c>
      <c r="D480">
        <v>10</v>
      </c>
      <c r="E480">
        <v>30000</v>
      </c>
      <c r="F480">
        <v>-97.344662128571301</v>
      </c>
      <c r="G480">
        <v>24.799345532206502</v>
      </c>
      <c r="H480">
        <v>2931</v>
      </c>
      <c r="I480">
        <v>356</v>
      </c>
      <c r="J480">
        <v>105</v>
      </c>
      <c r="K480" t="str">
        <f t="shared" si="21"/>
        <v>Miami → Sydney</v>
      </c>
      <c r="L480" s="5">
        <f t="shared" si="22"/>
        <v>35.6</v>
      </c>
      <c r="M480" s="7">
        <f t="shared" si="23"/>
        <v>37380</v>
      </c>
      <c r="N480" s="7"/>
      <c r="O480" s="7"/>
    </row>
    <row r="481" spans="1:15" x14ac:dyDescent="0.25">
      <c r="A481" t="s">
        <v>489</v>
      </c>
      <c r="B481" t="s">
        <v>4</v>
      </c>
      <c r="C481" t="s">
        <v>2</v>
      </c>
      <c r="D481">
        <v>9</v>
      </c>
      <c r="E481">
        <v>30000</v>
      </c>
      <c r="F481">
        <v>-137.68153194592099</v>
      </c>
      <c r="G481">
        <v>57.612150370016899</v>
      </c>
      <c r="H481">
        <v>2729</v>
      </c>
      <c r="I481">
        <v>397</v>
      </c>
      <c r="J481">
        <v>126</v>
      </c>
      <c r="K481" t="str">
        <f t="shared" si="21"/>
        <v>Miami → Tokyo</v>
      </c>
      <c r="L481" s="5">
        <f t="shared" si="22"/>
        <v>44.111111111111114</v>
      </c>
      <c r="M481" s="7">
        <f t="shared" si="23"/>
        <v>50022</v>
      </c>
      <c r="N481" s="7"/>
      <c r="O481" s="7"/>
    </row>
    <row r="482" spans="1:15" x14ac:dyDescent="0.25">
      <c r="A482" t="s">
        <v>490</v>
      </c>
      <c r="B482" t="s">
        <v>28</v>
      </c>
      <c r="C482" t="s">
        <v>13</v>
      </c>
      <c r="D482">
        <v>15</v>
      </c>
      <c r="E482">
        <v>30000</v>
      </c>
      <c r="F482">
        <v>-120.497583548535</v>
      </c>
      <c r="G482">
        <v>-82.515787227613103</v>
      </c>
      <c r="H482">
        <v>2847</v>
      </c>
      <c r="I482">
        <v>300</v>
      </c>
      <c r="J482">
        <v>150</v>
      </c>
      <c r="K482" t="str">
        <f t="shared" si="21"/>
        <v>New York → Paris</v>
      </c>
      <c r="L482" s="5">
        <f t="shared" si="22"/>
        <v>20</v>
      </c>
      <c r="M482" s="7">
        <f t="shared" si="23"/>
        <v>45000</v>
      </c>
      <c r="N482" s="7"/>
      <c r="O482" s="7"/>
    </row>
    <row r="483" spans="1:15" x14ac:dyDescent="0.25">
      <c r="A483" t="s">
        <v>491</v>
      </c>
      <c r="B483" t="s">
        <v>1</v>
      </c>
      <c r="C483" t="s">
        <v>9</v>
      </c>
      <c r="D483">
        <v>9</v>
      </c>
      <c r="E483">
        <v>30000</v>
      </c>
      <c r="F483">
        <v>-179.28283132113501</v>
      </c>
      <c r="G483">
        <v>-0.33661016135236799</v>
      </c>
      <c r="H483">
        <v>2500</v>
      </c>
      <c r="I483">
        <v>356</v>
      </c>
      <c r="J483">
        <v>127</v>
      </c>
      <c r="K483" t="str">
        <f t="shared" si="21"/>
        <v>Houston → Sydney</v>
      </c>
      <c r="L483" s="5">
        <f t="shared" si="22"/>
        <v>39.555555555555557</v>
      </c>
      <c r="M483" s="7">
        <f t="shared" si="23"/>
        <v>45212</v>
      </c>
      <c r="N483" s="7"/>
      <c r="O483" s="7"/>
    </row>
    <row r="484" spans="1:15" x14ac:dyDescent="0.25">
      <c r="A484" t="s">
        <v>492</v>
      </c>
      <c r="B484" t="s">
        <v>11</v>
      </c>
      <c r="C484" t="s">
        <v>20</v>
      </c>
      <c r="D484">
        <v>11</v>
      </c>
      <c r="E484">
        <v>30000</v>
      </c>
      <c r="F484">
        <v>78.746262427270906</v>
      </c>
      <c r="G484">
        <v>34.075874178484298</v>
      </c>
      <c r="H484">
        <v>2794</v>
      </c>
      <c r="I484">
        <v>402</v>
      </c>
      <c r="J484">
        <v>113</v>
      </c>
      <c r="K484" t="str">
        <f t="shared" si="21"/>
        <v>Los Angeles → Dubai</v>
      </c>
      <c r="L484" s="5">
        <f t="shared" si="22"/>
        <v>36.545454545454547</v>
      </c>
      <c r="M484" s="7">
        <f t="shared" si="23"/>
        <v>45426</v>
      </c>
      <c r="N484" s="7"/>
      <c r="O484" s="7"/>
    </row>
    <row r="485" spans="1:15" x14ac:dyDescent="0.25">
      <c r="A485" t="s">
        <v>493</v>
      </c>
      <c r="B485" t="s">
        <v>4</v>
      </c>
      <c r="C485" t="s">
        <v>15</v>
      </c>
      <c r="D485">
        <v>12</v>
      </c>
      <c r="E485">
        <v>35000</v>
      </c>
      <c r="F485">
        <v>83.664377661016502</v>
      </c>
      <c r="G485">
        <v>-44.583853127456301</v>
      </c>
      <c r="H485">
        <v>3000</v>
      </c>
      <c r="I485">
        <v>300</v>
      </c>
      <c r="J485">
        <v>50</v>
      </c>
      <c r="K485" t="str">
        <f t="shared" si="21"/>
        <v>Miami → London</v>
      </c>
      <c r="L485" s="5">
        <f t="shared" si="22"/>
        <v>25</v>
      </c>
      <c r="M485" s="7">
        <f t="shared" si="23"/>
        <v>15000</v>
      </c>
      <c r="N485" s="7"/>
      <c r="O485" s="7"/>
    </row>
    <row r="486" spans="1:15" x14ac:dyDescent="0.25">
      <c r="A486" t="s">
        <v>494</v>
      </c>
      <c r="B486" t="s">
        <v>28</v>
      </c>
      <c r="C486" t="s">
        <v>15</v>
      </c>
      <c r="D486">
        <v>9</v>
      </c>
      <c r="E486">
        <v>30000</v>
      </c>
      <c r="F486">
        <v>5.3760059687734003</v>
      </c>
      <c r="G486">
        <v>-34.601237047233198</v>
      </c>
      <c r="H486">
        <v>2000</v>
      </c>
      <c r="I486">
        <v>300</v>
      </c>
      <c r="J486">
        <v>50</v>
      </c>
      <c r="K486" t="str">
        <f t="shared" si="21"/>
        <v>New York → London</v>
      </c>
      <c r="L486" s="5">
        <f t="shared" si="22"/>
        <v>33.333333333333336</v>
      </c>
      <c r="M486" s="7">
        <f t="shared" si="23"/>
        <v>15000</v>
      </c>
      <c r="N486" s="7"/>
      <c r="O486" s="7"/>
    </row>
    <row r="487" spans="1:15" x14ac:dyDescent="0.25">
      <c r="A487" t="s">
        <v>495</v>
      </c>
      <c r="B487" t="s">
        <v>6</v>
      </c>
      <c r="C487" t="s">
        <v>15</v>
      </c>
      <c r="D487">
        <v>9</v>
      </c>
      <c r="E487">
        <v>30000</v>
      </c>
      <c r="F487">
        <v>-121.909391620062</v>
      </c>
      <c r="G487">
        <v>20.4548225380891</v>
      </c>
      <c r="H487">
        <v>2678</v>
      </c>
      <c r="I487">
        <v>374</v>
      </c>
      <c r="J487">
        <v>116</v>
      </c>
      <c r="K487" t="str">
        <f t="shared" si="21"/>
        <v>Chicago → London</v>
      </c>
      <c r="L487" s="5">
        <f t="shared" si="22"/>
        <v>41.555555555555557</v>
      </c>
      <c r="M487" s="7">
        <f t="shared" si="23"/>
        <v>43384</v>
      </c>
      <c r="N487" s="7"/>
      <c r="O487" s="7"/>
    </row>
    <row r="488" spans="1:15" x14ac:dyDescent="0.25">
      <c r="A488" t="s">
        <v>496</v>
      </c>
      <c r="B488" t="s">
        <v>28</v>
      </c>
      <c r="C488" t="s">
        <v>13</v>
      </c>
      <c r="D488">
        <v>9</v>
      </c>
      <c r="E488">
        <v>30000</v>
      </c>
      <c r="F488">
        <v>-149.920438496152</v>
      </c>
      <c r="G488">
        <v>71.628352819872603</v>
      </c>
      <c r="H488">
        <v>2847</v>
      </c>
      <c r="I488">
        <v>354</v>
      </c>
      <c r="J488">
        <v>122</v>
      </c>
      <c r="K488" t="str">
        <f t="shared" si="21"/>
        <v>New York → Paris</v>
      </c>
      <c r="L488" s="5">
        <f t="shared" si="22"/>
        <v>39.333333333333336</v>
      </c>
      <c r="M488" s="7">
        <f t="shared" si="23"/>
        <v>43188</v>
      </c>
      <c r="N488" s="7"/>
      <c r="O488" s="7"/>
    </row>
    <row r="489" spans="1:15" x14ac:dyDescent="0.25">
      <c r="A489" t="s">
        <v>497</v>
      </c>
      <c r="B489" t="s">
        <v>6</v>
      </c>
      <c r="C489" t="s">
        <v>2</v>
      </c>
      <c r="D489">
        <v>7</v>
      </c>
      <c r="E489">
        <v>30000</v>
      </c>
      <c r="F489">
        <v>-173.11357208257701</v>
      </c>
      <c r="G489">
        <v>55.786395654521897</v>
      </c>
      <c r="H489">
        <v>2583</v>
      </c>
      <c r="I489">
        <v>450</v>
      </c>
      <c r="J489">
        <v>133</v>
      </c>
      <c r="K489" t="str">
        <f t="shared" si="21"/>
        <v>Chicago → Tokyo</v>
      </c>
      <c r="L489" s="5">
        <f t="shared" si="22"/>
        <v>64.285714285714292</v>
      </c>
      <c r="M489" s="7">
        <f t="shared" si="23"/>
        <v>59850</v>
      </c>
      <c r="N489" s="7"/>
      <c r="O489" s="7"/>
    </row>
    <row r="490" spans="1:15" x14ac:dyDescent="0.25">
      <c r="A490" t="s">
        <v>498</v>
      </c>
      <c r="B490" t="s">
        <v>1</v>
      </c>
      <c r="C490" t="s">
        <v>9</v>
      </c>
      <c r="D490">
        <v>9</v>
      </c>
      <c r="E490">
        <v>30000</v>
      </c>
      <c r="F490">
        <v>-120.330656292521</v>
      </c>
      <c r="G490">
        <v>14.963439437925</v>
      </c>
      <c r="H490">
        <v>2000</v>
      </c>
      <c r="I490">
        <v>300</v>
      </c>
      <c r="J490">
        <v>150</v>
      </c>
      <c r="K490" t="str">
        <f t="shared" si="21"/>
        <v>Houston → Sydney</v>
      </c>
      <c r="L490" s="5">
        <f t="shared" si="22"/>
        <v>33.333333333333336</v>
      </c>
      <c r="M490" s="7">
        <f t="shared" si="23"/>
        <v>45000</v>
      </c>
      <c r="N490" s="7"/>
      <c r="O490" s="7"/>
    </row>
    <row r="491" spans="1:15" x14ac:dyDescent="0.25">
      <c r="A491" t="s">
        <v>499</v>
      </c>
      <c r="B491" t="s">
        <v>11</v>
      </c>
      <c r="C491" t="s">
        <v>20</v>
      </c>
      <c r="D491">
        <v>12</v>
      </c>
      <c r="E491">
        <v>30000</v>
      </c>
      <c r="F491">
        <v>140.707992593933</v>
      </c>
      <c r="G491">
        <v>41.439909196304903</v>
      </c>
      <c r="H491">
        <v>2500</v>
      </c>
      <c r="I491">
        <v>150</v>
      </c>
      <c r="J491">
        <v>200</v>
      </c>
      <c r="K491" t="str">
        <f t="shared" si="21"/>
        <v>Los Angeles → Dubai</v>
      </c>
      <c r="L491" s="5">
        <f t="shared" si="22"/>
        <v>12.5</v>
      </c>
      <c r="M491" s="7">
        <f t="shared" si="23"/>
        <v>30000</v>
      </c>
      <c r="N491" s="7"/>
      <c r="O491" s="7"/>
    </row>
    <row r="492" spans="1:15" x14ac:dyDescent="0.25">
      <c r="A492" t="s">
        <v>500</v>
      </c>
      <c r="B492" t="s">
        <v>28</v>
      </c>
      <c r="C492" t="s">
        <v>20</v>
      </c>
      <c r="D492">
        <v>11</v>
      </c>
      <c r="E492">
        <v>30000</v>
      </c>
      <c r="F492">
        <v>-93.046736987394596</v>
      </c>
      <c r="G492">
        <v>-24.331955362596201</v>
      </c>
      <c r="H492">
        <v>2588</v>
      </c>
      <c r="I492">
        <v>402</v>
      </c>
      <c r="J492">
        <v>134</v>
      </c>
      <c r="K492" t="str">
        <f t="shared" si="21"/>
        <v>New York → Dubai</v>
      </c>
      <c r="L492" s="5">
        <f t="shared" si="22"/>
        <v>36.545454545454547</v>
      </c>
      <c r="M492" s="7">
        <f t="shared" si="23"/>
        <v>53868</v>
      </c>
      <c r="N492" s="7"/>
      <c r="O492" s="7"/>
    </row>
    <row r="493" spans="1:15" x14ac:dyDescent="0.25">
      <c r="A493" t="s">
        <v>501</v>
      </c>
      <c r="B493" t="s">
        <v>4</v>
      </c>
      <c r="C493" t="s">
        <v>13</v>
      </c>
      <c r="D493">
        <v>8</v>
      </c>
      <c r="E493">
        <v>32000</v>
      </c>
      <c r="F493">
        <v>-52.462322201802401</v>
      </c>
      <c r="G493">
        <v>25.373795057776402</v>
      </c>
      <c r="H493">
        <v>2718</v>
      </c>
      <c r="I493">
        <v>354</v>
      </c>
      <c r="J493">
        <v>115</v>
      </c>
      <c r="K493" t="str">
        <f t="shared" si="21"/>
        <v>Miami → Paris</v>
      </c>
      <c r="L493" s="5">
        <f t="shared" si="22"/>
        <v>44.25</v>
      </c>
      <c r="M493" s="7">
        <f t="shared" si="23"/>
        <v>40710</v>
      </c>
      <c r="N493" s="7"/>
      <c r="O493" s="7"/>
    </row>
    <row r="494" spans="1:15" x14ac:dyDescent="0.25">
      <c r="A494" t="s">
        <v>502</v>
      </c>
      <c r="B494" t="s">
        <v>1</v>
      </c>
      <c r="C494" t="s">
        <v>15</v>
      </c>
      <c r="D494">
        <v>8</v>
      </c>
      <c r="E494">
        <v>30000</v>
      </c>
      <c r="F494">
        <v>-142.07562558672001</v>
      </c>
      <c r="G494">
        <v>-6.0873135970397403</v>
      </c>
      <c r="H494">
        <v>2500</v>
      </c>
      <c r="I494">
        <v>150</v>
      </c>
      <c r="J494">
        <v>200</v>
      </c>
      <c r="K494" t="str">
        <f t="shared" si="21"/>
        <v>Houston → London</v>
      </c>
      <c r="L494" s="5">
        <f t="shared" si="22"/>
        <v>18.75</v>
      </c>
      <c r="M494" s="7">
        <f t="shared" si="23"/>
        <v>30000</v>
      </c>
      <c r="N494" s="7"/>
      <c r="O494" s="7"/>
    </row>
    <row r="495" spans="1:15" x14ac:dyDescent="0.25">
      <c r="A495" t="s">
        <v>503</v>
      </c>
      <c r="B495" t="s">
        <v>28</v>
      </c>
      <c r="C495" t="s">
        <v>13</v>
      </c>
      <c r="D495">
        <v>9</v>
      </c>
      <c r="E495">
        <v>30000</v>
      </c>
      <c r="F495">
        <v>-99.949930290658699</v>
      </c>
      <c r="G495">
        <v>-55.811495437639003</v>
      </c>
      <c r="H495">
        <v>2847</v>
      </c>
      <c r="I495">
        <v>354</v>
      </c>
      <c r="J495">
        <v>122</v>
      </c>
      <c r="K495" t="str">
        <f t="shared" si="21"/>
        <v>New York → Paris</v>
      </c>
      <c r="L495" s="5">
        <f t="shared" si="22"/>
        <v>39.333333333333336</v>
      </c>
      <c r="M495" s="7">
        <f t="shared" si="23"/>
        <v>43188</v>
      </c>
      <c r="N495" s="7"/>
      <c r="O495" s="7"/>
    </row>
    <row r="496" spans="1:15" x14ac:dyDescent="0.25">
      <c r="A496" t="s">
        <v>504</v>
      </c>
      <c r="B496" t="s">
        <v>4</v>
      </c>
      <c r="C496" t="s">
        <v>2</v>
      </c>
      <c r="D496">
        <v>9</v>
      </c>
      <c r="E496">
        <v>30000</v>
      </c>
      <c r="F496">
        <v>6.92084548087385</v>
      </c>
      <c r="G496">
        <v>36.312889297906302</v>
      </c>
      <c r="H496">
        <v>2729</v>
      </c>
      <c r="I496">
        <v>397</v>
      </c>
      <c r="J496">
        <v>126</v>
      </c>
      <c r="K496" t="str">
        <f t="shared" si="21"/>
        <v>Miami → Tokyo</v>
      </c>
      <c r="L496" s="5">
        <f t="shared" si="22"/>
        <v>44.111111111111114</v>
      </c>
      <c r="M496" s="7">
        <f t="shared" si="23"/>
        <v>50022</v>
      </c>
      <c r="N496" s="7"/>
      <c r="O496" s="7"/>
    </row>
    <row r="497" spans="1:15" x14ac:dyDescent="0.25">
      <c r="A497" t="s">
        <v>505</v>
      </c>
      <c r="B497" t="s">
        <v>28</v>
      </c>
      <c r="C497" t="s">
        <v>2</v>
      </c>
      <c r="D497">
        <v>9</v>
      </c>
      <c r="E497">
        <v>30000</v>
      </c>
      <c r="F497">
        <v>38.790965914434899</v>
      </c>
      <c r="G497">
        <v>10.163634722788</v>
      </c>
      <c r="H497">
        <v>2954</v>
      </c>
      <c r="I497">
        <v>397</v>
      </c>
      <c r="J497">
        <v>128</v>
      </c>
      <c r="K497" t="str">
        <f t="shared" si="21"/>
        <v>New York → Tokyo</v>
      </c>
      <c r="L497" s="5">
        <f t="shared" si="22"/>
        <v>44.111111111111114</v>
      </c>
      <c r="M497" s="7">
        <f t="shared" si="23"/>
        <v>50816</v>
      </c>
      <c r="N497" s="7"/>
      <c r="O497" s="7"/>
    </row>
    <row r="498" spans="1:15" x14ac:dyDescent="0.25">
      <c r="A498" t="s">
        <v>506</v>
      </c>
      <c r="B498" t="s">
        <v>6</v>
      </c>
      <c r="C498" t="s">
        <v>9</v>
      </c>
      <c r="D498">
        <v>5</v>
      </c>
      <c r="E498">
        <v>35000</v>
      </c>
      <c r="F498">
        <v>-91.673166900164006</v>
      </c>
      <c r="G498">
        <v>-25.448115248353499</v>
      </c>
      <c r="H498">
        <v>3000</v>
      </c>
      <c r="I498">
        <v>150</v>
      </c>
      <c r="J498">
        <v>200</v>
      </c>
      <c r="K498" t="str">
        <f t="shared" si="21"/>
        <v>Chicago → Sydney</v>
      </c>
      <c r="L498" s="5">
        <f t="shared" si="22"/>
        <v>30</v>
      </c>
      <c r="M498" s="7">
        <f t="shared" si="23"/>
        <v>30000</v>
      </c>
      <c r="N498" s="7"/>
      <c r="O498" s="7"/>
    </row>
    <row r="499" spans="1:15" x14ac:dyDescent="0.25">
      <c r="A499" t="s">
        <v>507</v>
      </c>
      <c r="B499" t="s">
        <v>28</v>
      </c>
      <c r="C499" t="s">
        <v>9</v>
      </c>
      <c r="D499">
        <v>12</v>
      </c>
      <c r="E499">
        <v>32000</v>
      </c>
      <c r="F499">
        <v>-159.216422678958</v>
      </c>
      <c r="G499">
        <v>74.041054214153505</v>
      </c>
      <c r="H499">
        <v>2500</v>
      </c>
      <c r="I499">
        <v>600</v>
      </c>
      <c r="J499">
        <v>100</v>
      </c>
      <c r="K499" t="str">
        <f t="shared" si="21"/>
        <v>New York → Sydney</v>
      </c>
      <c r="L499" s="5">
        <f t="shared" si="22"/>
        <v>50</v>
      </c>
      <c r="M499" s="7">
        <f t="shared" si="23"/>
        <v>60000</v>
      </c>
      <c r="N499" s="7"/>
      <c r="O499" s="7"/>
    </row>
    <row r="500" spans="1:15" x14ac:dyDescent="0.25">
      <c r="A500" t="s">
        <v>508</v>
      </c>
      <c r="B500" t="s">
        <v>28</v>
      </c>
      <c r="C500" t="s">
        <v>2</v>
      </c>
      <c r="D500">
        <v>9</v>
      </c>
      <c r="E500">
        <v>30000</v>
      </c>
      <c r="F500">
        <v>-39.228167114136497</v>
      </c>
      <c r="G500">
        <v>-86.231858791188003</v>
      </c>
      <c r="H500">
        <v>3000</v>
      </c>
      <c r="I500">
        <v>300</v>
      </c>
      <c r="J500">
        <v>150</v>
      </c>
      <c r="K500" t="str">
        <f t="shared" si="21"/>
        <v>New York → Tokyo</v>
      </c>
      <c r="L500" s="5">
        <f t="shared" si="22"/>
        <v>33.333333333333336</v>
      </c>
      <c r="M500" s="7">
        <f t="shared" si="23"/>
        <v>45000</v>
      </c>
      <c r="N500" s="7"/>
      <c r="O500" s="7"/>
    </row>
    <row r="501" spans="1:15" x14ac:dyDescent="0.25">
      <c r="A501" t="s">
        <v>509</v>
      </c>
      <c r="B501" t="s">
        <v>28</v>
      </c>
      <c r="C501" t="s">
        <v>2</v>
      </c>
      <c r="D501">
        <v>9</v>
      </c>
      <c r="E501">
        <v>30000</v>
      </c>
      <c r="F501">
        <v>-95.686786466519706</v>
      </c>
      <c r="G501">
        <v>-33.160832775090697</v>
      </c>
      <c r="H501">
        <v>2954</v>
      </c>
      <c r="I501">
        <v>397</v>
      </c>
      <c r="J501">
        <v>128</v>
      </c>
      <c r="K501" t="str">
        <f t="shared" si="21"/>
        <v>New York → Tokyo</v>
      </c>
      <c r="L501" s="5">
        <f t="shared" si="22"/>
        <v>44.111111111111114</v>
      </c>
      <c r="M501" s="7">
        <f t="shared" si="23"/>
        <v>50816</v>
      </c>
      <c r="N501" s="7"/>
      <c r="O501" s="7"/>
    </row>
    <row r="502" spans="1:15" x14ac:dyDescent="0.25">
      <c r="A502" t="s">
        <v>510</v>
      </c>
      <c r="B502" t="s">
        <v>1</v>
      </c>
      <c r="C502" t="s">
        <v>2</v>
      </c>
      <c r="D502">
        <v>10</v>
      </c>
      <c r="E502">
        <v>30000</v>
      </c>
      <c r="F502">
        <v>-100.960587637271</v>
      </c>
      <c r="G502">
        <v>-79.761348400023607</v>
      </c>
      <c r="H502">
        <v>2550</v>
      </c>
      <c r="I502">
        <v>397</v>
      </c>
      <c r="J502">
        <v>120</v>
      </c>
      <c r="K502" t="str">
        <f t="shared" si="21"/>
        <v>Houston → Tokyo</v>
      </c>
      <c r="L502" s="5">
        <f t="shared" si="22"/>
        <v>39.700000000000003</v>
      </c>
      <c r="M502" s="7">
        <f t="shared" si="23"/>
        <v>47640</v>
      </c>
      <c r="N502" s="7"/>
      <c r="O502" s="7"/>
    </row>
    <row r="503" spans="1:15" x14ac:dyDescent="0.25">
      <c r="A503" t="s">
        <v>511</v>
      </c>
      <c r="B503" t="s">
        <v>28</v>
      </c>
      <c r="C503" t="s">
        <v>13</v>
      </c>
      <c r="D503">
        <v>9</v>
      </c>
      <c r="E503">
        <v>30000</v>
      </c>
      <c r="F503">
        <v>165.55060897684399</v>
      </c>
      <c r="G503">
        <v>47.974916919892898</v>
      </c>
      <c r="H503">
        <v>2847</v>
      </c>
      <c r="I503">
        <v>354</v>
      </c>
      <c r="J503">
        <v>122</v>
      </c>
      <c r="K503" t="str">
        <f t="shared" si="21"/>
        <v>New York → Paris</v>
      </c>
      <c r="L503" s="5">
        <f t="shared" si="22"/>
        <v>39.333333333333336</v>
      </c>
      <c r="M503" s="7">
        <f t="shared" si="23"/>
        <v>43188</v>
      </c>
      <c r="N503" s="7"/>
      <c r="O503" s="7"/>
    </row>
    <row r="504" spans="1:15" x14ac:dyDescent="0.25">
      <c r="A504" t="s">
        <v>512</v>
      </c>
      <c r="B504" t="s">
        <v>4</v>
      </c>
      <c r="C504" t="s">
        <v>2</v>
      </c>
      <c r="D504">
        <v>15</v>
      </c>
      <c r="E504">
        <v>30000</v>
      </c>
      <c r="F504">
        <v>41.868174933260697</v>
      </c>
      <c r="G504">
        <v>36.379341740482701</v>
      </c>
      <c r="H504">
        <v>2500</v>
      </c>
      <c r="I504">
        <v>450</v>
      </c>
      <c r="J504">
        <v>50</v>
      </c>
      <c r="K504" t="str">
        <f t="shared" si="21"/>
        <v>Miami → Tokyo</v>
      </c>
      <c r="L504" s="5">
        <f t="shared" si="22"/>
        <v>30</v>
      </c>
      <c r="M504" s="7">
        <f t="shared" si="23"/>
        <v>22500</v>
      </c>
      <c r="N504" s="7"/>
      <c r="O504" s="7"/>
    </row>
    <row r="505" spans="1:15" x14ac:dyDescent="0.25">
      <c r="A505" t="s">
        <v>513</v>
      </c>
      <c r="B505" t="s">
        <v>6</v>
      </c>
      <c r="C505" t="s">
        <v>20</v>
      </c>
      <c r="D505">
        <v>7</v>
      </c>
      <c r="E505">
        <v>32000</v>
      </c>
      <c r="F505">
        <v>20.476239541954499</v>
      </c>
      <c r="G505">
        <v>-30.3566006274629</v>
      </c>
      <c r="H505">
        <v>3000</v>
      </c>
      <c r="I505">
        <v>300</v>
      </c>
      <c r="J505">
        <v>150</v>
      </c>
      <c r="K505" t="str">
        <f t="shared" si="21"/>
        <v>Chicago → Dubai</v>
      </c>
      <c r="L505" s="5">
        <f t="shared" si="22"/>
        <v>42.857142857142854</v>
      </c>
      <c r="M505" s="7">
        <f t="shared" si="23"/>
        <v>45000</v>
      </c>
      <c r="N505" s="7"/>
      <c r="O505" s="7"/>
    </row>
    <row r="506" spans="1:15" x14ac:dyDescent="0.25">
      <c r="A506" t="s">
        <v>514</v>
      </c>
      <c r="B506" t="s">
        <v>6</v>
      </c>
      <c r="C506" t="s">
        <v>15</v>
      </c>
      <c r="D506">
        <v>12</v>
      </c>
      <c r="E506">
        <v>35000</v>
      </c>
      <c r="F506">
        <v>-30.320962731604101</v>
      </c>
      <c r="G506">
        <v>31.619322397273201</v>
      </c>
      <c r="H506">
        <v>3500</v>
      </c>
      <c r="I506">
        <v>300</v>
      </c>
      <c r="J506">
        <v>116</v>
      </c>
      <c r="K506" t="str">
        <f t="shared" si="21"/>
        <v>Chicago → London</v>
      </c>
      <c r="L506" s="5">
        <f t="shared" si="22"/>
        <v>25</v>
      </c>
      <c r="M506" s="7">
        <f t="shared" si="23"/>
        <v>34800</v>
      </c>
      <c r="N506" s="7"/>
      <c r="O506" s="7"/>
    </row>
    <row r="507" spans="1:15" x14ac:dyDescent="0.25">
      <c r="A507" t="s">
        <v>515</v>
      </c>
      <c r="B507" t="s">
        <v>28</v>
      </c>
      <c r="C507" t="s">
        <v>2</v>
      </c>
      <c r="D507">
        <v>15</v>
      </c>
      <c r="E507">
        <v>35000</v>
      </c>
      <c r="F507">
        <v>-25.580039965148099</v>
      </c>
      <c r="G507">
        <v>-18.731299284729001</v>
      </c>
      <c r="H507">
        <v>3500</v>
      </c>
      <c r="I507">
        <v>450</v>
      </c>
      <c r="J507">
        <v>150</v>
      </c>
      <c r="K507" t="str">
        <f t="shared" si="21"/>
        <v>New York → Tokyo</v>
      </c>
      <c r="L507" s="5">
        <f t="shared" si="22"/>
        <v>30</v>
      </c>
      <c r="M507" s="7">
        <f t="shared" si="23"/>
        <v>67500</v>
      </c>
      <c r="N507" s="7"/>
      <c r="O507" s="7"/>
    </row>
    <row r="508" spans="1:15" x14ac:dyDescent="0.25">
      <c r="A508" t="s">
        <v>516</v>
      </c>
      <c r="B508" t="s">
        <v>1</v>
      </c>
      <c r="C508" t="s">
        <v>15</v>
      </c>
      <c r="D508">
        <v>8</v>
      </c>
      <c r="E508">
        <v>30000</v>
      </c>
      <c r="F508">
        <v>14.7258013817091</v>
      </c>
      <c r="G508">
        <v>46.125682456038199</v>
      </c>
      <c r="H508">
        <v>2846</v>
      </c>
      <c r="I508">
        <v>374</v>
      </c>
      <c r="J508">
        <v>138</v>
      </c>
      <c r="K508" t="str">
        <f t="shared" si="21"/>
        <v>Houston → London</v>
      </c>
      <c r="L508" s="5">
        <f t="shared" si="22"/>
        <v>46.75</v>
      </c>
      <c r="M508" s="7">
        <f t="shared" si="23"/>
        <v>51612</v>
      </c>
      <c r="N508" s="7"/>
      <c r="O508" s="7"/>
    </row>
    <row r="509" spans="1:15" x14ac:dyDescent="0.25">
      <c r="A509" t="s">
        <v>517</v>
      </c>
      <c r="B509" t="s">
        <v>1</v>
      </c>
      <c r="C509" t="s">
        <v>13</v>
      </c>
      <c r="D509">
        <v>12</v>
      </c>
      <c r="E509">
        <v>30000</v>
      </c>
      <c r="F509">
        <v>70.714730532998601</v>
      </c>
      <c r="G509">
        <v>-8.2469407073929109</v>
      </c>
      <c r="H509">
        <v>2647</v>
      </c>
      <c r="I509">
        <v>300</v>
      </c>
      <c r="J509">
        <v>113</v>
      </c>
      <c r="K509" t="str">
        <f t="shared" si="21"/>
        <v>Houston → Paris</v>
      </c>
      <c r="L509" s="5">
        <f t="shared" si="22"/>
        <v>25</v>
      </c>
      <c r="M509" s="7">
        <f t="shared" si="23"/>
        <v>33900</v>
      </c>
      <c r="N509" s="7"/>
      <c r="O509" s="7"/>
    </row>
    <row r="510" spans="1:15" x14ac:dyDescent="0.25">
      <c r="A510" t="s">
        <v>518</v>
      </c>
      <c r="B510" t="s">
        <v>4</v>
      </c>
      <c r="C510" t="s">
        <v>15</v>
      </c>
      <c r="D510">
        <v>7</v>
      </c>
      <c r="E510">
        <v>32000</v>
      </c>
      <c r="F510">
        <v>72.772594625458595</v>
      </c>
      <c r="G510">
        <v>-15.789648990300201</v>
      </c>
      <c r="H510">
        <v>2615</v>
      </c>
      <c r="I510">
        <v>450</v>
      </c>
      <c r="J510">
        <v>50</v>
      </c>
      <c r="K510" t="str">
        <f t="shared" si="21"/>
        <v>Miami → London</v>
      </c>
      <c r="L510" s="5">
        <f t="shared" si="22"/>
        <v>64.285714285714292</v>
      </c>
      <c r="M510" s="7">
        <f t="shared" si="23"/>
        <v>22500</v>
      </c>
      <c r="N510" s="7"/>
      <c r="O510" s="7"/>
    </row>
    <row r="511" spans="1:15" x14ac:dyDescent="0.25">
      <c r="A511" t="s">
        <v>519</v>
      </c>
      <c r="B511" t="s">
        <v>28</v>
      </c>
      <c r="C511" t="s">
        <v>13</v>
      </c>
      <c r="D511">
        <v>9</v>
      </c>
      <c r="E511">
        <v>35000</v>
      </c>
      <c r="F511">
        <v>-118.19019322603801</v>
      </c>
      <c r="G511">
        <v>78.251384787894196</v>
      </c>
      <c r="H511">
        <v>3500</v>
      </c>
      <c r="I511">
        <v>150</v>
      </c>
      <c r="J511">
        <v>100</v>
      </c>
      <c r="K511" t="str">
        <f t="shared" si="21"/>
        <v>New York → Paris</v>
      </c>
      <c r="L511" s="5">
        <f t="shared" si="22"/>
        <v>16.666666666666668</v>
      </c>
      <c r="M511" s="7">
        <f t="shared" si="23"/>
        <v>15000</v>
      </c>
      <c r="N511" s="7"/>
      <c r="O511" s="7"/>
    </row>
    <row r="512" spans="1:15" x14ac:dyDescent="0.25">
      <c r="A512" t="s">
        <v>520</v>
      </c>
      <c r="B512" t="s">
        <v>6</v>
      </c>
      <c r="C512" t="s">
        <v>20</v>
      </c>
      <c r="D512">
        <v>9</v>
      </c>
      <c r="E512">
        <v>30000</v>
      </c>
      <c r="F512">
        <v>4.0590747585724798E-2</v>
      </c>
      <c r="G512">
        <v>-44.841762019674</v>
      </c>
      <c r="H512">
        <v>2500</v>
      </c>
      <c r="I512">
        <v>450</v>
      </c>
      <c r="J512">
        <v>114</v>
      </c>
      <c r="K512" t="str">
        <f t="shared" si="21"/>
        <v>Chicago → Dubai</v>
      </c>
      <c r="L512" s="5">
        <f t="shared" si="22"/>
        <v>50</v>
      </c>
      <c r="M512" s="7">
        <f t="shared" si="23"/>
        <v>51300</v>
      </c>
      <c r="N512" s="7"/>
      <c r="O512" s="7"/>
    </row>
    <row r="513" spans="1:15" x14ac:dyDescent="0.25">
      <c r="A513" t="s">
        <v>521</v>
      </c>
      <c r="B513" t="s">
        <v>1</v>
      </c>
      <c r="C513" t="s">
        <v>13</v>
      </c>
      <c r="D513">
        <v>7</v>
      </c>
      <c r="E513">
        <v>32000</v>
      </c>
      <c r="F513">
        <v>-31.695085787723301</v>
      </c>
      <c r="G513">
        <v>-68.319478800618199</v>
      </c>
      <c r="H513">
        <v>2647</v>
      </c>
      <c r="I513">
        <v>450</v>
      </c>
      <c r="J513">
        <v>113</v>
      </c>
      <c r="K513" t="str">
        <f t="shared" si="21"/>
        <v>Houston → Paris</v>
      </c>
      <c r="L513" s="5">
        <f t="shared" si="22"/>
        <v>64.285714285714292</v>
      </c>
      <c r="M513" s="7">
        <f t="shared" si="23"/>
        <v>50850</v>
      </c>
      <c r="N513" s="7"/>
      <c r="O513" s="7"/>
    </row>
    <row r="514" spans="1:15" x14ac:dyDescent="0.25">
      <c r="A514" t="s">
        <v>522</v>
      </c>
      <c r="B514" t="s">
        <v>28</v>
      </c>
      <c r="C514" t="s">
        <v>13</v>
      </c>
      <c r="D514">
        <v>15</v>
      </c>
      <c r="E514">
        <v>30000</v>
      </c>
      <c r="F514">
        <v>133.38970785697799</v>
      </c>
      <c r="G514">
        <v>15.2177603867025</v>
      </c>
      <c r="H514">
        <v>2500</v>
      </c>
      <c r="I514">
        <v>300</v>
      </c>
      <c r="J514">
        <v>50</v>
      </c>
      <c r="K514" t="str">
        <f t="shared" si="21"/>
        <v>New York → Paris</v>
      </c>
      <c r="L514" s="5">
        <f t="shared" si="22"/>
        <v>20</v>
      </c>
      <c r="M514" s="7">
        <f t="shared" si="23"/>
        <v>15000</v>
      </c>
      <c r="N514" s="7"/>
      <c r="O514" s="7"/>
    </row>
    <row r="515" spans="1:15" x14ac:dyDescent="0.25">
      <c r="A515" t="s">
        <v>523</v>
      </c>
      <c r="B515" t="s">
        <v>1</v>
      </c>
      <c r="C515" t="s">
        <v>9</v>
      </c>
      <c r="D515">
        <v>9</v>
      </c>
      <c r="E515">
        <v>30000</v>
      </c>
      <c r="F515">
        <v>47.310811638615498</v>
      </c>
      <c r="G515">
        <v>84.477926211152194</v>
      </c>
      <c r="H515">
        <v>2500</v>
      </c>
      <c r="I515">
        <v>356</v>
      </c>
      <c r="J515">
        <v>127</v>
      </c>
      <c r="K515" t="str">
        <f t="shared" ref="K515:K578" si="24">B515 &amp; " → " &amp; C515</f>
        <v>Houston → Sydney</v>
      </c>
      <c r="L515" s="5">
        <f t="shared" ref="L515:L578" si="25">I515/D515</f>
        <v>39.555555555555557</v>
      </c>
      <c r="M515" s="7">
        <f t="shared" ref="M515:M578" si="26">I515*J515</f>
        <v>45212</v>
      </c>
      <c r="N515" s="7"/>
      <c r="O515" s="7"/>
    </row>
    <row r="516" spans="1:15" x14ac:dyDescent="0.25">
      <c r="A516" t="s">
        <v>524</v>
      </c>
      <c r="B516" t="s">
        <v>1</v>
      </c>
      <c r="C516" t="s">
        <v>2</v>
      </c>
      <c r="D516">
        <v>10</v>
      </c>
      <c r="E516">
        <v>30000</v>
      </c>
      <c r="F516">
        <v>11.7014639097534</v>
      </c>
      <c r="G516">
        <v>-21.988941529106398</v>
      </c>
      <c r="H516">
        <v>2550</v>
      </c>
      <c r="I516">
        <v>397</v>
      </c>
      <c r="J516">
        <v>120</v>
      </c>
      <c r="K516" t="str">
        <f t="shared" si="24"/>
        <v>Houston → Tokyo</v>
      </c>
      <c r="L516" s="5">
        <f t="shared" si="25"/>
        <v>39.700000000000003</v>
      </c>
      <c r="M516" s="7">
        <f t="shared" si="26"/>
        <v>47640</v>
      </c>
      <c r="N516" s="7"/>
      <c r="O516" s="7"/>
    </row>
    <row r="517" spans="1:15" x14ac:dyDescent="0.25">
      <c r="A517" t="s">
        <v>525</v>
      </c>
      <c r="B517" t="s">
        <v>6</v>
      </c>
      <c r="C517" t="s">
        <v>2</v>
      </c>
      <c r="D517">
        <v>8</v>
      </c>
      <c r="E517">
        <v>35000</v>
      </c>
      <c r="F517">
        <v>-138.45792881559001</v>
      </c>
      <c r="G517">
        <v>-78.833382546819294</v>
      </c>
      <c r="H517">
        <v>3500</v>
      </c>
      <c r="I517">
        <v>600</v>
      </c>
      <c r="J517">
        <v>200</v>
      </c>
      <c r="K517" t="str">
        <f t="shared" si="24"/>
        <v>Chicago → Tokyo</v>
      </c>
      <c r="L517" s="5">
        <f t="shared" si="25"/>
        <v>75</v>
      </c>
      <c r="M517" s="7">
        <f t="shared" si="26"/>
        <v>120000</v>
      </c>
      <c r="N517" s="7"/>
      <c r="O517" s="7"/>
    </row>
    <row r="518" spans="1:15" x14ac:dyDescent="0.25">
      <c r="A518" t="s">
        <v>526</v>
      </c>
      <c r="B518" t="s">
        <v>11</v>
      </c>
      <c r="C518" t="s">
        <v>20</v>
      </c>
      <c r="D518">
        <v>15</v>
      </c>
      <c r="E518">
        <v>35000</v>
      </c>
      <c r="F518">
        <v>38.029640156428101</v>
      </c>
      <c r="G518">
        <v>-28.925051884277899</v>
      </c>
      <c r="H518">
        <v>2000</v>
      </c>
      <c r="I518">
        <v>402</v>
      </c>
      <c r="J518">
        <v>100</v>
      </c>
      <c r="K518" t="str">
        <f t="shared" si="24"/>
        <v>Los Angeles → Dubai</v>
      </c>
      <c r="L518" s="5">
        <f t="shared" si="25"/>
        <v>26.8</v>
      </c>
      <c r="M518" s="7">
        <f t="shared" si="26"/>
        <v>40200</v>
      </c>
      <c r="N518" s="7"/>
      <c r="O518" s="7"/>
    </row>
    <row r="519" spans="1:15" x14ac:dyDescent="0.25">
      <c r="A519" t="s">
        <v>527</v>
      </c>
      <c r="B519" t="s">
        <v>4</v>
      </c>
      <c r="C519" t="s">
        <v>20</v>
      </c>
      <c r="D519">
        <v>7</v>
      </c>
      <c r="E519">
        <v>30000</v>
      </c>
      <c r="F519">
        <v>-137.806593955116</v>
      </c>
      <c r="G519">
        <v>1.0676977775205201</v>
      </c>
      <c r="H519">
        <v>2700</v>
      </c>
      <c r="I519">
        <v>450</v>
      </c>
      <c r="J519">
        <v>150</v>
      </c>
      <c r="K519" t="str">
        <f t="shared" si="24"/>
        <v>Miami → Dubai</v>
      </c>
      <c r="L519" s="5">
        <f t="shared" si="25"/>
        <v>64.285714285714292</v>
      </c>
      <c r="M519" s="7">
        <f t="shared" si="26"/>
        <v>67500</v>
      </c>
      <c r="N519" s="7"/>
      <c r="O519" s="7"/>
    </row>
    <row r="520" spans="1:15" x14ac:dyDescent="0.25">
      <c r="A520" t="s">
        <v>528</v>
      </c>
      <c r="B520" t="s">
        <v>4</v>
      </c>
      <c r="C520" t="s">
        <v>2</v>
      </c>
      <c r="D520">
        <v>9</v>
      </c>
      <c r="E520">
        <v>30000</v>
      </c>
      <c r="F520">
        <v>-58.605632796329303</v>
      </c>
      <c r="G520">
        <v>-60.853858806201501</v>
      </c>
      <c r="H520">
        <v>2729</v>
      </c>
      <c r="I520">
        <v>450</v>
      </c>
      <c r="J520">
        <v>50</v>
      </c>
      <c r="K520" t="str">
        <f t="shared" si="24"/>
        <v>Miami → Tokyo</v>
      </c>
      <c r="L520" s="5">
        <f t="shared" si="25"/>
        <v>50</v>
      </c>
      <c r="M520" s="7">
        <f t="shared" si="26"/>
        <v>22500</v>
      </c>
      <c r="N520" s="7"/>
      <c r="O520" s="7"/>
    </row>
    <row r="521" spans="1:15" x14ac:dyDescent="0.25">
      <c r="A521" t="s">
        <v>529</v>
      </c>
      <c r="B521" t="s">
        <v>6</v>
      </c>
      <c r="C521" t="s">
        <v>9</v>
      </c>
      <c r="D521">
        <v>9</v>
      </c>
      <c r="E521">
        <v>30000</v>
      </c>
      <c r="F521">
        <v>-128.57689266684099</v>
      </c>
      <c r="G521">
        <v>28.458399250168601</v>
      </c>
      <c r="H521">
        <v>2678</v>
      </c>
      <c r="I521">
        <v>356</v>
      </c>
      <c r="J521">
        <v>137</v>
      </c>
      <c r="K521" t="str">
        <f t="shared" si="24"/>
        <v>Chicago → Sydney</v>
      </c>
      <c r="L521" s="5">
        <f t="shared" si="25"/>
        <v>39.555555555555557</v>
      </c>
      <c r="M521" s="7">
        <f t="shared" si="26"/>
        <v>48772</v>
      </c>
      <c r="N521" s="7"/>
      <c r="O521" s="7"/>
    </row>
    <row r="522" spans="1:15" x14ac:dyDescent="0.25">
      <c r="A522" t="s">
        <v>530</v>
      </c>
      <c r="B522" t="s">
        <v>1</v>
      </c>
      <c r="C522" t="s">
        <v>2</v>
      </c>
      <c r="D522">
        <v>12</v>
      </c>
      <c r="E522">
        <v>32000</v>
      </c>
      <c r="F522">
        <v>69.146512928772793</v>
      </c>
      <c r="G522">
        <v>89.594890021836093</v>
      </c>
      <c r="H522">
        <v>3000</v>
      </c>
      <c r="I522">
        <v>600</v>
      </c>
      <c r="J522">
        <v>200</v>
      </c>
      <c r="K522" t="str">
        <f t="shared" si="24"/>
        <v>Houston → Tokyo</v>
      </c>
      <c r="L522" s="5">
        <f t="shared" si="25"/>
        <v>50</v>
      </c>
      <c r="M522" s="7">
        <f t="shared" si="26"/>
        <v>120000</v>
      </c>
      <c r="N522" s="7"/>
      <c r="O522" s="7"/>
    </row>
    <row r="523" spans="1:15" x14ac:dyDescent="0.25">
      <c r="A523" t="s">
        <v>531</v>
      </c>
      <c r="B523" t="s">
        <v>28</v>
      </c>
      <c r="C523" t="s">
        <v>9</v>
      </c>
      <c r="D523">
        <v>9</v>
      </c>
      <c r="E523">
        <v>30000</v>
      </c>
      <c r="F523">
        <v>-105.74923901898499</v>
      </c>
      <c r="G523">
        <v>-8.6868943233401108</v>
      </c>
      <c r="H523">
        <v>2800</v>
      </c>
      <c r="I523">
        <v>356</v>
      </c>
      <c r="J523">
        <v>120</v>
      </c>
      <c r="K523" t="str">
        <f t="shared" si="24"/>
        <v>New York → Sydney</v>
      </c>
      <c r="L523" s="5">
        <f t="shared" si="25"/>
        <v>39.555555555555557</v>
      </c>
      <c r="M523" s="7">
        <f t="shared" si="26"/>
        <v>42720</v>
      </c>
      <c r="N523" s="7"/>
      <c r="O523" s="7"/>
    </row>
    <row r="524" spans="1:15" x14ac:dyDescent="0.25">
      <c r="A524" t="s">
        <v>532</v>
      </c>
      <c r="B524" t="s">
        <v>1</v>
      </c>
      <c r="C524" t="s">
        <v>20</v>
      </c>
      <c r="D524">
        <v>8</v>
      </c>
      <c r="E524">
        <v>30000</v>
      </c>
      <c r="F524">
        <v>-38.930625652310702</v>
      </c>
      <c r="G524">
        <v>-26.148859788561701</v>
      </c>
      <c r="H524">
        <v>2500</v>
      </c>
      <c r="I524">
        <v>402</v>
      </c>
      <c r="J524">
        <v>111</v>
      </c>
      <c r="K524" t="str">
        <f t="shared" si="24"/>
        <v>Houston → Dubai</v>
      </c>
      <c r="L524" s="5">
        <f t="shared" si="25"/>
        <v>50.25</v>
      </c>
      <c r="M524" s="7">
        <f t="shared" si="26"/>
        <v>44622</v>
      </c>
      <c r="N524" s="7"/>
      <c r="O524" s="7"/>
    </row>
    <row r="525" spans="1:15" x14ac:dyDescent="0.25">
      <c r="A525" t="s">
        <v>533</v>
      </c>
      <c r="B525" t="s">
        <v>6</v>
      </c>
      <c r="C525" t="s">
        <v>15</v>
      </c>
      <c r="D525">
        <v>9</v>
      </c>
      <c r="E525">
        <v>30000</v>
      </c>
      <c r="F525">
        <v>142.44291994276</v>
      </c>
      <c r="G525">
        <v>-17.873249969795999</v>
      </c>
      <c r="H525">
        <v>2678</v>
      </c>
      <c r="I525">
        <v>374</v>
      </c>
      <c r="J525">
        <v>116</v>
      </c>
      <c r="K525" t="str">
        <f t="shared" si="24"/>
        <v>Chicago → London</v>
      </c>
      <c r="L525" s="5">
        <f t="shared" si="25"/>
        <v>41.555555555555557</v>
      </c>
      <c r="M525" s="7">
        <f t="shared" si="26"/>
        <v>43384</v>
      </c>
      <c r="N525" s="7"/>
      <c r="O525" s="7"/>
    </row>
    <row r="526" spans="1:15" x14ac:dyDescent="0.25">
      <c r="A526" t="s">
        <v>534</v>
      </c>
      <c r="B526" t="s">
        <v>4</v>
      </c>
      <c r="C526" t="s">
        <v>20</v>
      </c>
      <c r="D526">
        <v>12</v>
      </c>
      <c r="E526">
        <v>32000</v>
      </c>
      <c r="F526">
        <v>-106.446101976371</v>
      </c>
      <c r="G526">
        <v>-69.273687888863805</v>
      </c>
      <c r="H526">
        <v>2000</v>
      </c>
      <c r="I526">
        <v>600</v>
      </c>
      <c r="J526">
        <v>50</v>
      </c>
      <c r="K526" t="str">
        <f t="shared" si="24"/>
        <v>Miami → Dubai</v>
      </c>
      <c r="L526" s="5">
        <f t="shared" si="25"/>
        <v>50</v>
      </c>
      <c r="M526" s="7">
        <f t="shared" si="26"/>
        <v>30000</v>
      </c>
      <c r="N526" s="7"/>
      <c r="O526" s="7"/>
    </row>
    <row r="527" spans="1:15" x14ac:dyDescent="0.25">
      <c r="A527" t="s">
        <v>535</v>
      </c>
      <c r="B527" t="s">
        <v>1</v>
      </c>
      <c r="C527" t="s">
        <v>20</v>
      </c>
      <c r="D527">
        <v>5</v>
      </c>
      <c r="E527">
        <v>35000</v>
      </c>
      <c r="F527">
        <v>2.8098230251604801</v>
      </c>
      <c r="G527">
        <v>68.989248256720302</v>
      </c>
      <c r="H527">
        <v>2500</v>
      </c>
      <c r="I527">
        <v>402</v>
      </c>
      <c r="J527">
        <v>111</v>
      </c>
      <c r="K527" t="str">
        <f t="shared" si="24"/>
        <v>Houston → Dubai</v>
      </c>
      <c r="L527" s="5">
        <f t="shared" si="25"/>
        <v>80.400000000000006</v>
      </c>
      <c r="M527" s="7">
        <f t="shared" si="26"/>
        <v>44622</v>
      </c>
      <c r="N527" s="7"/>
      <c r="O527" s="7"/>
    </row>
    <row r="528" spans="1:15" x14ac:dyDescent="0.25">
      <c r="A528" t="s">
        <v>536</v>
      </c>
      <c r="B528" t="s">
        <v>4</v>
      </c>
      <c r="C528" t="s">
        <v>13</v>
      </c>
      <c r="D528">
        <v>8</v>
      </c>
      <c r="E528">
        <v>30000</v>
      </c>
      <c r="F528">
        <v>-29.0622019802321</v>
      </c>
      <c r="G528">
        <v>-15.3313820061566</v>
      </c>
      <c r="H528">
        <v>2718</v>
      </c>
      <c r="I528">
        <v>354</v>
      </c>
      <c r="J528">
        <v>115</v>
      </c>
      <c r="K528" t="str">
        <f t="shared" si="24"/>
        <v>Miami → Paris</v>
      </c>
      <c r="L528" s="5">
        <f t="shared" si="25"/>
        <v>44.25</v>
      </c>
      <c r="M528" s="7">
        <f t="shared" si="26"/>
        <v>40710</v>
      </c>
      <c r="N528" s="7"/>
      <c r="O528" s="7"/>
    </row>
    <row r="529" spans="1:15" x14ac:dyDescent="0.25">
      <c r="A529" t="s">
        <v>537</v>
      </c>
      <c r="B529" t="s">
        <v>28</v>
      </c>
      <c r="C529" t="s">
        <v>13</v>
      </c>
      <c r="D529">
        <v>9</v>
      </c>
      <c r="E529">
        <v>30000</v>
      </c>
      <c r="F529">
        <v>-173.475345223537</v>
      </c>
      <c r="G529">
        <v>-20.2906059435286</v>
      </c>
      <c r="H529">
        <v>2847</v>
      </c>
      <c r="I529">
        <v>354</v>
      </c>
      <c r="J529">
        <v>122</v>
      </c>
      <c r="K529" t="str">
        <f t="shared" si="24"/>
        <v>New York → Paris</v>
      </c>
      <c r="L529" s="5">
        <f t="shared" si="25"/>
        <v>39.333333333333336</v>
      </c>
      <c r="M529" s="7">
        <f t="shared" si="26"/>
        <v>43188</v>
      </c>
      <c r="N529" s="7"/>
      <c r="O529" s="7"/>
    </row>
    <row r="530" spans="1:15" x14ac:dyDescent="0.25">
      <c r="A530" t="s">
        <v>538</v>
      </c>
      <c r="B530" t="s">
        <v>4</v>
      </c>
      <c r="C530" t="s">
        <v>13</v>
      </c>
      <c r="D530">
        <v>8</v>
      </c>
      <c r="E530">
        <v>30000</v>
      </c>
      <c r="F530">
        <v>105.39292088621301</v>
      </c>
      <c r="G530">
        <v>28.7442491274854</v>
      </c>
      <c r="H530">
        <v>2718</v>
      </c>
      <c r="I530">
        <v>354</v>
      </c>
      <c r="J530">
        <v>115</v>
      </c>
      <c r="K530" t="str">
        <f t="shared" si="24"/>
        <v>Miami → Paris</v>
      </c>
      <c r="L530" s="5">
        <f t="shared" si="25"/>
        <v>44.25</v>
      </c>
      <c r="M530" s="7">
        <f t="shared" si="26"/>
        <v>40710</v>
      </c>
      <c r="N530" s="7"/>
      <c r="O530" s="7"/>
    </row>
    <row r="531" spans="1:15" x14ac:dyDescent="0.25">
      <c r="A531" t="s">
        <v>539</v>
      </c>
      <c r="B531" t="s">
        <v>4</v>
      </c>
      <c r="C531" t="s">
        <v>13</v>
      </c>
      <c r="D531">
        <v>8</v>
      </c>
      <c r="E531">
        <v>30000</v>
      </c>
      <c r="F531">
        <v>-155.14347372674399</v>
      </c>
      <c r="G531">
        <v>-10.433984232397799</v>
      </c>
      <c r="H531">
        <v>2718</v>
      </c>
      <c r="I531">
        <v>354</v>
      </c>
      <c r="J531">
        <v>115</v>
      </c>
      <c r="K531" t="str">
        <f t="shared" si="24"/>
        <v>Miami → Paris</v>
      </c>
      <c r="L531" s="5">
        <f t="shared" si="25"/>
        <v>44.25</v>
      </c>
      <c r="M531" s="7">
        <f t="shared" si="26"/>
        <v>40710</v>
      </c>
      <c r="N531" s="7"/>
      <c r="O531" s="7"/>
    </row>
    <row r="532" spans="1:15" x14ac:dyDescent="0.25">
      <c r="A532" t="s">
        <v>540</v>
      </c>
      <c r="B532" t="s">
        <v>11</v>
      </c>
      <c r="C532" t="s">
        <v>9</v>
      </c>
      <c r="D532">
        <v>8</v>
      </c>
      <c r="E532">
        <v>30000</v>
      </c>
      <c r="F532">
        <v>-9.2681924482967002</v>
      </c>
      <c r="G532">
        <v>26.682024385412301</v>
      </c>
      <c r="H532">
        <v>3000</v>
      </c>
      <c r="I532">
        <v>356</v>
      </c>
      <c r="J532">
        <v>145</v>
      </c>
      <c r="K532" t="str">
        <f t="shared" si="24"/>
        <v>Los Angeles → Sydney</v>
      </c>
      <c r="L532" s="5">
        <f t="shared" si="25"/>
        <v>44.5</v>
      </c>
      <c r="M532" s="7">
        <f t="shared" si="26"/>
        <v>51620</v>
      </c>
      <c r="N532" s="7"/>
      <c r="O532" s="7"/>
    </row>
    <row r="533" spans="1:15" x14ac:dyDescent="0.25">
      <c r="A533" t="s">
        <v>541</v>
      </c>
      <c r="B533" t="s">
        <v>11</v>
      </c>
      <c r="C533" t="s">
        <v>2</v>
      </c>
      <c r="D533">
        <v>7</v>
      </c>
      <c r="E533">
        <v>35000</v>
      </c>
      <c r="F533">
        <v>21.844186178021999</v>
      </c>
      <c r="G533">
        <v>-78.939667776458293</v>
      </c>
      <c r="H533">
        <v>2586</v>
      </c>
      <c r="I533">
        <v>397</v>
      </c>
      <c r="J533">
        <v>100</v>
      </c>
      <c r="K533" t="str">
        <f t="shared" si="24"/>
        <v>Los Angeles → Tokyo</v>
      </c>
      <c r="L533" s="5">
        <f t="shared" si="25"/>
        <v>56.714285714285715</v>
      </c>
      <c r="M533" s="7">
        <f t="shared" si="26"/>
        <v>39700</v>
      </c>
      <c r="N533" s="7"/>
      <c r="O533" s="7"/>
    </row>
    <row r="534" spans="1:15" x14ac:dyDescent="0.25">
      <c r="A534" t="s">
        <v>542</v>
      </c>
      <c r="B534" t="s">
        <v>11</v>
      </c>
      <c r="C534" t="s">
        <v>15</v>
      </c>
      <c r="D534">
        <v>8</v>
      </c>
      <c r="E534">
        <v>30000</v>
      </c>
      <c r="F534">
        <v>46.233524381251399</v>
      </c>
      <c r="G534">
        <v>56.470201870000899</v>
      </c>
      <c r="H534">
        <v>2760</v>
      </c>
      <c r="I534">
        <v>374</v>
      </c>
      <c r="J534">
        <v>131</v>
      </c>
      <c r="K534" t="str">
        <f t="shared" si="24"/>
        <v>Los Angeles → London</v>
      </c>
      <c r="L534" s="5">
        <f t="shared" si="25"/>
        <v>46.75</v>
      </c>
      <c r="M534" s="7">
        <f t="shared" si="26"/>
        <v>48994</v>
      </c>
      <c r="N534" s="7"/>
      <c r="O534" s="7"/>
    </row>
    <row r="535" spans="1:15" x14ac:dyDescent="0.25">
      <c r="A535" t="s">
        <v>543</v>
      </c>
      <c r="B535" t="s">
        <v>4</v>
      </c>
      <c r="C535" t="s">
        <v>20</v>
      </c>
      <c r="D535">
        <v>12</v>
      </c>
      <c r="E535">
        <v>35000</v>
      </c>
      <c r="F535">
        <v>67.907386550835199</v>
      </c>
      <c r="G535">
        <v>79.290711518292497</v>
      </c>
      <c r="H535">
        <v>3500</v>
      </c>
      <c r="I535">
        <v>450</v>
      </c>
      <c r="J535">
        <v>50</v>
      </c>
      <c r="K535" t="str">
        <f t="shared" si="24"/>
        <v>Miami → Dubai</v>
      </c>
      <c r="L535" s="5">
        <f t="shared" si="25"/>
        <v>37.5</v>
      </c>
      <c r="M535" s="7">
        <f t="shared" si="26"/>
        <v>22500</v>
      </c>
      <c r="N535" s="7"/>
      <c r="O535" s="7"/>
    </row>
    <row r="536" spans="1:15" x14ac:dyDescent="0.25">
      <c r="A536" t="s">
        <v>544</v>
      </c>
      <c r="B536" t="s">
        <v>6</v>
      </c>
      <c r="C536" t="s">
        <v>9</v>
      </c>
      <c r="D536">
        <v>9</v>
      </c>
      <c r="E536">
        <v>30000</v>
      </c>
      <c r="F536">
        <v>-88.821941931822593</v>
      </c>
      <c r="G536">
        <v>26.777769508689499</v>
      </c>
      <c r="H536">
        <v>2678</v>
      </c>
      <c r="I536">
        <v>356</v>
      </c>
      <c r="J536">
        <v>137</v>
      </c>
      <c r="K536" t="str">
        <f t="shared" si="24"/>
        <v>Chicago → Sydney</v>
      </c>
      <c r="L536" s="5">
        <f t="shared" si="25"/>
        <v>39.555555555555557</v>
      </c>
      <c r="M536" s="7">
        <f t="shared" si="26"/>
        <v>48772</v>
      </c>
      <c r="N536" s="7"/>
      <c r="O536" s="7"/>
    </row>
    <row r="537" spans="1:15" x14ac:dyDescent="0.25">
      <c r="A537" t="s">
        <v>545</v>
      </c>
      <c r="B537" t="s">
        <v>4</v>
      </c>
      <c r="C537" t="s">
        <v>15</v>
      </c>
      <c r="D537">
        <v>8</v>
      </c>
      <c r="E537">
        <v>30000</v>
      </c>
      <c r="F537">
        <v>-176.40764040295801</v>
      </c>
      <c r="G537">
        <v>81.821867194585906</v>
      </c>
      <c r="H537">
        <v>2615</v>
      </c>
      <c r="I537">
        <v>374</v>
      </c>
      <c r="J537">
        <v>121</v>
      </c>
      <c r="K537" t="str">
        <f t="shared" si="24"/>
        <v>Miami → London</v>
      </c>
      <c r="L537" s="5">
        <f t="shared" si="25"/>
        <v>46.75</v>
      </c>
      <c r="M537" s="7">
        <f t="shared" si="26"/>
        <v>45254</v>
      </c>
      <c r="N537" s="7"/>
      <c r="O537" s="7"/>
    </row>
    <row r="538" spans="1:15" x14ac:dyDescent="0.25">
      <c r="A538" t="s">
        <v>546</v>
      </c>
      <c r="B538" t="s">
        <v>6</v>
      </c>
      <c r="C538" t="s">
        <v>9</v>
      </c>
      <c r="D538">
        <v>9</v>
      </c>
      <c r="E538">
        <v>30000</v>
      </c>
      <c r="F538">
        <v>80.4397184477683</v>
      </c>
      <c r="G538">
        <v>-62.7421834134066</v>
      </c>
      <c r="H538">
        <v>2678</v>
      </c>
      <c r="I538">
        <v>356</v>
      </c>
      <c r="J538">
        <v>137</v>
      </c>
      <c r="K538" t="str">
        <f t="shared" si="24"/>
        <v>Chicago → Sydney</v>
      </c>
      <c r="L538" s="5">
        <f t="shared" si="25"/>
        <v>39.555555555555557</v>
      </c>
      <c r="M538" s="7">
        <f t="shared" si="26"/>
        <v>48772</v>
      </c>
      <c r="N538" s="7"/>
      <c r="O538" s="7"/>
    </row>
    <row r="539" spans="1:15" x14ac:dyDescent="0.25">
      <c r="A539" t="s">
        <v>547</v>
      </c>
      <c r="B539" t="s">
        <v>6</v>
      </c>
      <c r="C539" t="s">
        <v>9</v>
      </c>
      <c r="D539">
        <v>7</v>
      </c>
      <c r="E539">
        <v>35000</v>
      </c>
      <c r="F539">
        <v>12.836375765128301</v>
      </c>
      <c r="G539">
        <v>-4.0650858935363399</v>
      </c>
      <c r="H539">
        <v>2678</v>
      </c>
      <c r="I539">
        <v>356</v>
      </c>
      <c r="J539">
        <v>137</v>
      </c>
      <c r="K539" t="str">
        <f t="shared" si="24"/>
        <v>Chicago → Sydney</v>
      </c>
      <c r="L539" s="5">
        <f t="shared" si="25"/>
        <v>50.857142857142854</v>
      </c>
      <c r="M539" s="7">
        <f t="shared" si="26"/>
        <v>48772</v>
      </c>
      <c r="N539" s="7"/>
      <c r="O539" s="7"/>
    </row>
    <row r="540" spans="1:15" x14ac:dyDescent="0.25">
      <c r="A540" t="s">
        <v>548</v>
      </c>
      <c r="B540" t="s">
        <v>11</v>
      </c>
      <c r="C540" t="s">
        <v>20</v>
      </c>
      <c r="D540">
        <v>9</v>
      </c>
      <c r="E540">
        <v>30000</v>
      </c>
      <c r="F540">
        <v>121.00237315461</v>
      </c>
      <c r="G540">
        <v>18.325212110180502</v>
      </c>
      <c r="H540">
        <v>2794</v>
      </c>
      <c r="I540">
        <v>450</v>
      </c>
      <c r="J540">
        <v>100</v>
      </c>
      <c r="K540" t="str">
        <f t="shared" si="24"/>
        <v>Los Angeles → Dubai</v>
      </c>
      <c r="L540" s="5">
        <f t="shared" si="25"/>
        <v>50</v>
      </c>
      <c r="M540" s="7">
        <f t="shared" si="26"/>
        <v>45000</v>
      </c>
      <c r="N540" s="7"/>
      <c r="O540" s="7"/>
    </row>
    <row r="541" spans="1:15" x14ac:dyDescent="0.25">
      <c r="A541" t="s">
        <v>549</v>
      </c>
      <c r="B541" t="s">
        <v>1</v>
      </c>
      <c r="C541" t="s">
        <v>2</v>
      </c>
      <c r="D541">
        <v>12</v>
      </c>
      <c r="E541">
        <v>30000</v>
      </c>
      <c r="F541">
        <v>115.69981064424999</v>
      </c>
      <c r="G541">
        <v>14.712596535813599</v>
      </c>
      <c r="H541">
        <v>2550</v>
      </c>
      <c r="I541">
        <v>600</v>
      </c>
      <c r="J541">
        <v>50</v>
      </c>
      <c r="K541" t="str">
        <f t="shared" si="24"/>
        <v>Houston → Tokyo</v>
      </c>
      <c r="L541" s="5">
        <f t="shared" si="25"/>
        <v>50</v>
      </c>
      <c r="M541" s="7">
        <f t="shared" si="26"/>
        <v>30000</v>
      </c>
      <c r="N541" s="7"/>
      <c r="O541" s="7"/>
    </row>
    <row r="542" spans="1:15" x14ac:dyDescent="0.25">
      <c r="A542" t="s">
        <v>550</v>
      </c>
      <c r="B542" t="s">
        <v>28</v>
      </c>
      <c r="C542" t="s">
        <v>13</v>
      </c>
      <c r="D542">
        <v>12</v>
      </c>
      <c r="E542">
        <v>30000</v>
      </c>
      <c r="F542">
        <v>123.597420403638</v>
      </c>
      <c r="G542">
        <v>-17.736879763972201</v>
      </c>
      <c r="H542">
        <v>2847</v>
      </c>
      <c r="I542">
        <v>300</v>
      </c>
      <c r="J542">
        <v>100</v>
      </c>
      <c r="K542" t="str">
        <f t="shared" si="24"/>
        <v>New York → Paris</v>
      </c>
      <c r="L542" s="5">
        <f t="shared" si="25"/>
        <v>25</v>
      </c>
      <c r="M542" s="7">
        <f t="shared" si="26"/>
        <v>30000</v>
      </c>
      <c r="N542" s="7"/>
      <c r="O542" s="7"/>
    </row>
    <row r="543" spans="1:15" x14ac:dyDescent="0.25">
      <c r="A543" t="s">
        <v>551</v>
      </c>
      <c r="B543" t="s">
        <v>11</v>
      </c>
      <c r="C543" t="s">
        <v>2</v>
      </c>
      <c r="D543">
        <v>10</v>
      </c>
      <c r="E543">
        <v>30000</v>
      </c>
      <c r="F543">
        <v>-5.3659224073655301</v>
      </c>
      <c r="G543">
        <v>-29.144806314073001</v>
      </c>
      <c r="H543">
        <v>2586</v>
      </c>
      <c r="I543">
        <v>397</v>
      </c>
      <c r="J543">
        <v>119</v>
      </c>
      <c r="K543" t="str">
        <f t="shared" si="24"/>
        <v>Los Angeles → Tokyo</v>
      </c>
      <c r="L543" s="5">
        <f t="shared" si="25"/>
        <v>39.700000000000003</v>
      </c>
      <c r="M543" s="7">
        <f t="shared" si="26"/>
        <v>47243</v>
      </c>
      <c r="N543" s="7"/>
      <c r="O543" s="7"/>
    </row>
    <row r="544" spans="1:15" x14ac:dyDescent="0.25">
      <c r="A544" t="s">
        <v>552</v>
      </c>
      <c r="B544" t="s">
        <v>11</v>
      </c>
      <c r="C544" t="s">
        <v>20</v>
      </c>
      <c r="D544">
        <v>11</v>
      </c>
      <c r="E544">
        <v>30000</v>
      </c>
      <c r="F544">
        <v>-59.893777498728397</v>
      </c>
      <c r="G544">
        <v>-67.171675940924601</v>
      </c>
      <c r="H544">
        <v>2794</v>
      </c>
      <c r="I544">
        <v>402</v>
      </c>
      <c r="J544">
        <v>113</v>
      </c>
      <c r="K544" t="str">
        <f t="shared" si="24"/>
        <v>Los Angeles → Dubai</v>
      </c>
      <c r="L544" s="5">
        <f t="shared" si="25"/>
        <v>36.545454545454547</v>
      </c>
      <c r="M544" s="7">
        <f t="shared" si="26"/>
        <v>45426</v>
      </c>
      <c r="N544" s="7"/>
      <c r="O544" s="7"/>
    </row>
    <row r="545" spans="1:15" x14ac:dyDescent="0.25">
      <c r="A545" t="s">
        <v>553</v>
      </c>
      <c r="B545" t="s">
        <v>1</v>
      </c>
      <c r="C545" t="s">
        <v>20</v>
      </c>
      <c r="D545">
        <v>8</v>
      </c>
      <c r="E545">
        <v>30000</v>
      </c>
      <c r="F545">
        <v>104.96095293289299</v>
      </c>
      <c r="G545">
        <v>-19.486358898789899</v>
      </c>
      <c r="H545">
        <v>2500</v>
      </c>
      <c r="I545">
        <v>402</v>
      </c>
      <c r="J545">
        <v>111</v>
      </c>
      <c r="K545" t="str">
        <f t="shared" si="24"/>
        <v>Houston → Dubai</v>
      </c>
      <c r="L545" s="5">
        <f t="shared" si="25"/>
        <v>50.25</v>
      </c>
      <c r="M545" s="7">
        <f t="shared" si="26"/>
        <v>44622</v>
      </c>
      <c r="N545" s="7"/>
      <c r="O545" s="7"/>
    </row>
    <row r="546" spans="1:15" x14ac:dyDescent="0.25">
      <c r="A546" t="s">
        <v>554</v>
      </c>
      <c r="B546" t="s">
        <v>28</v>
      </c>
      <c r="C546" t="s">
        <v>20</v>
      </c>
      <c r="D546">
        <v>11</v>
      </c>
      <c r="E546">
        <v>30000</v>
      </c>
      <c r="F546">
        <v>-17.534119309468199</v>
      </c>
      <c r="G546">
        <v>-60.721053281012701</v>
      </c>
      <c r="H546">
        <v>2588</v>
      </c>
      <c r="I546">
        <v>402</v>
      </c>
      <c r="J546">
        <v>134</v>
      </c>
      <c r="K546" t="str">
        <f t="shared" si="24"/>
        <v>New York → Dubai</v>
      </c>
      <c r="L546" s="5">
        <f t="shared" si="25"/>
        <v>36.545454545454547</v>
      </c>
      <c r="M546" s="7">
        <f t="shared" si="26"/>
        <v>53868</v>
      </c>
      <c r="N546" s="7"/>
      <c r="O546" s="7"/>
    </row>
    <row r="547" spans="1:15" x14ac:dyDescent="0.25">
      <c r="A547" t="s">
        <v>555</v>
      </c>
      <c r="B547" t="s">
        <v>4</v>
      </c>
      <c r="C547" t="s">
        <v>15</v>
      </c>
      <c r="D547">
        <v>8</v>
      </c>
      <c r="E547">
        <v>30000</v>
      </c>
      <c r="F547">
        <v>-113.960809294764</v>
      </c>
      <c r="G547">
        <v>42.185821768599297</v>
      </c>
      <c r="H547">
        <v>2615</v>
      </c>
      <c r="I547">
        <v>450</v>
      </c>
      <c r="J547">
        <v>50</v>
      </c>
      <c r="K547" t="str">
        <f t="shared" si="24"/>
        <v>Miami → London</v>
      </c>
      <c r="L547" s="5">
        <f t="shared" si="25"/>
        <v>56.25</v>
      </c>
      <c r="M547" s="7">
        <f t="shared" si="26"/>
        <v>22500</v>
      </c>
      <c r="N547" s="7"/>
      <c r="O547" s="7"/>
    </row>
    <row r="548" spans="1:15" x14ac:dyDescent="0.25">
      <c r="A548" t="s">
        <v>556</v>
      </c>
      <c r="B548" t="s">
        <v>4</v>
      </c>
      <c r="C548" t="s">
        <v>2</v>
      </c>
      <c r="D548">
        <v>15</v>
      </c>
      <c r="E548">
        <v>30000</v>
      </c>
      <c r="F548">
        <v>127.790647042131</v>
      </c>
      <c r="G548">
        <v>-52.410431610973802</v>
      </c>
      <c r="H548">
        <v>3000</v>
      </c>
      <c r="I548">
        <v>300</v>
      </c>
      <c r="J548">
        <v>126</v>
      </c>
      <c r="K548" t="str">
        <f t="shared" si="24"/>
        <v>Miami → Tokyo</v>
      </c>
      <c r="L548" s="5">
        <f t="shared" si="25"/>
        <v>20</v>
      </c>
      <c r="M548" s="7">
        <f t="shared" si="26"/>
        <v>37800</v>
      </c>
      <c r="N548" s="7"/>
      <c r="O548" s="7"/>
    </row>
    <row r="549" spans="1:15" x14ac:dyDescent="0.25">
      <c r="A549" t="s">
        <v>557</v>
      </c>
      <c r="B549" t="s">
        <v>11</v>
      </c>
      <c r="C549" t="s">
        <v>2</v>
      </c>
      <c r="D549">
        <v>10</v>
      </c>
      <c r="E549">
        <v>30000</v>
      </c>
      <c r="F549">
        <v>137.721555638045</v>
      </c>
      <c r="G549">
        <v>-79.458245048783894</v>
      </c>
      <c r="H549">
        <v>2586</v>
      </c>
      <c r="I549">
        <v>397</v>
      </c>
      <c r="J549">
        <v>119</v>
      </c>
      <c r="K549" t="str">
        <f t="shared" si="24"/>
        <v>Los Angeles → Tokyo</v>
      </c>
      <c r="L549" s="5">
        <f t="shared" si="25"/>
        <v>39.700000000000003</v>
      </c>
      <c r="M549" s="7">
        <f t="shared" si="26"/>
        <v>47243</v>
      </c>
      <c r="N549" s="7"/>
      <c r="O549" s="7"/>
    </row>
    <row r="550" spans="1:15" x14ac:dyDescent="0.25">
      <c r="A550" t="s">
        <v>558</v>
      </c>
      <c r="B550" t="s">
        <v>28</v>
      </c>
      <c r="C550" t="s">
        <v>9</v>
      </c>
      <c r="D550">
        <v>9</v>
      </c>
      <c r="E550">
        <v>30000</v>
      </c>
      <c r="F550">
        <v>-12.1284877895388</v>
      </c>
      <c r="G550">
        <v>9.4259048071021692</v>
      </c>
      <c r="H550">
        <v>2800</v>
      </c>
      <c r="I550">
        <v>356</v>
      </c>
      <c r="J550">
        <v>120</v>
      </c>
      <c r="K550" t="str">
        <f t="shared" si="24"/>
        <v>New York → Sydney</v>
      </c>
      <c r="L550" s="5">
        <f t="shared" si="25"/>
        <v>39.555555555555557</v>
      </c>
      <c r="M550" s="7">
        <f t="shared" si="26"/>
        <v>42720</v>
      </c>
      <c r="N550" s="7"/>
      <c r="O550" s="7"/>
    </row>
    <row r="551" spans="1:15" x14ac:dyDescent="0.25">
      <c r="A551" t="s">
        <v>559</v>
      </c>
      <c r="B551" t="s">
        <v>11</v>
      </c>
      <c r="C551" t="s">
        <v>9</v>
      </c>
      <c r="D551">
        <v>8</v>
      </c>
      <c r="E551">
        <v>30000</v>
      </c>
      <c r="F551">
        <v>-152.74809816847699</v>
      </c>
      <c r="G551">
        <v>17.141351889492299</v>
      </c>
      <c r="H551">
        <v>3000</v>
      </c>
      <c r="I551">
        <v>356</v>
      </c>
      <c r="J551">
        <v>145</v>
      </c>
      <c r="K551" t="str">
        <f t="shared" si="24"/>
        <v>Los Angeles → Sydney</v>
      </c>
      <c r="L551" s="5">
        <f t="shared" si="25"/>
        <v>44.5</v>
      </c>
      <c r="M551" s="7">
        <f t="shared" si="26"/>
        <v>51620</v>
      </c>
      <c r="N551" s="7"/>
      <c r="O551" s="7"/>
    </row>
    <row r="552" spans="1:15" x14ac:dyDescent="0.25">
      <c r="A552" t="s">
        <v>560</v>
      </c>
      <c r="B552" t="s">
        <v>6</v>
      </c>
      <c r="C552" t="s">
        <v>9</v>
      </c>
      <c r="D552">
        <v>9</v>
      </c>
      <c r="E552">
        <v>32000</v>
      </c>
      <c r="F552">
        <v>-40.382607629904697</v>
      </c>
      <c r="G552">
        <v>66.944351030491006</v>
      </c>
      <c r="H552">
        <v>2500</v>
      </c>
      <c r="I552">
        <v>356</v>
      </c>
      <c r="J552">
        <v>200</v>
      </c>
      <c r="K552" t="str">
        <f t="shared" si="24"/>
        <v>Chicago → Sydney</v>
      </c>
      <c r="L552" s="5">
        <f t="shared" si="25"/>
        <v>39.555555555555557</v>
      </c>
      <c r="M552" s="7">
        <f t="shared" si="26"/>
        <v>71200</v>
      </c>
      <c r="N552" s="7"/>
      <c r="O552" s="7"/>
    </row>
    <row r="553" spans="1:15" x14ac:dyDescent="0.25">
      <c r="A553" t="s">
        <v>561</v>
      </c>
      <c r="B553" t="s">
        <v>11</v>
      </c>
      <c r="C553" t="s">
        <v>20</v>
      </c>
      <c r="D553">
        <v>15</v>
      </c>
      <c r="E553">
        <v>35000</v>
      </c>
      <c r="F553">
        <v>109.27355740653699</v>
      </c>
      <c r="G553">
        <v>13.8566902351827</v>
      </c>
      <c r="H553">
        <v>2000</v>
      </c>
      <c r="I553">
        <v>450</v>
      </c>
      <c r="J553">
        <v>50</v>
      </c>
      <c r="K553" t="str">
        <f t="shared" si="24"/>
        <v>Los Angeles → Dubai</v>
      </c>
      <c r="L553" s="5">
        <f t="shared" si="25"/>
        <v>30</v>
      </c>
      <c r="M553" s="7">
        <f t="shared" si="26"/>
        <v>22500</v>
      </c>
      <c r="N553" s="7"/>
      <c r="O553" s="7"/>
    </row>
    <row r="554" spans="1:15" x14ac:dyDescent="0.25">
      <c r="A554" t="s">
        <v>562</v>
      </c>
      <c r="B554" t="s">
        <v>11</v>
      </c>
      <c r="C554" t="s">
        <v>2</v>
      </c>
      <c r="D554">
        <v>10</v>
      </c>
      <c r="E554">
        <v>30000</v>
      </c>
      <c r="F554">
        <v>144.63865027664201</v>
      </c>
      <c r="G554">
        <v>-27.813446329779801</v>
      </c>
      <c r="H554">
        <v>2586</v>
      </c>
      <c r="I554">
        <v>397</v>
      </c>
      <c r="J554">
        <v>119</v>
      </c>
      <c r="K554" t="str">
        <f t="shared" si="24"/>
        <v>Los Angeles → Tokyo</v>
      </c>
      <c r="L554" s="5">
        <f t="shared" si="25"/>
        <v>39.700000000000003</v>
      </c>
      <c r="M554" s="7">
        <f t="shared" si="26"/>
        <v>47243</v>
      </c>
      <c r="N554" s="7"/>
      <c r="O554" s="7"/>
    </row>
    <row r="555" spans="1:15" x14ac:dyDescent="0.25">
      <c r="A555" t="s">
        <v>563</v>
      </c>
      <c r="B555" t="s">
        <v>4</v>
      </c>
      <c r="C555" t="s">
        <v>20</v>
      </c>
      <c r="D555">
        <v>9</v>
      </c>
      <c r="E555">
        <v>30000</v>
      </c>
      <c r="F555">
        <v>-106.749812700866</v>
      </c>
      <c r="G555">
        <v>54.5421386747377</v>
      </c>
      <c r="H555">
        <v>3500</v>
      </c>
      <c r="I555">
        <v>150</v>
      </c>
      <c r="J555">
        <v>50</v>
      </c>
      <c r="K555" t="str">
        <f t="shared" si="24"/>
        <v>Miami → Dubai</v>
      </c>
      <c r="L555" s="5">
        <f t="shared" si="25"/>
        <v>16.666666666666668</v>
      </c>
      <c r="M555" s="7">
        <f t="shared" si="26"/>
        <v>7500</v>
      </c>
      <c r="N555" s="7"/>
      <c r="O555" s="7"/>
    </row>
    <row r="556" spans="1:15" x14ac:dyDescent="0.25">
      <c r="A556" t="s">
        <v>564</v>
      </c>
      <c r="B556" t="s">
        <v>4</v>
      </c>
      <c r="C556" t="s">
        <v>15</v>
      </c>
      <c r="D556">
        <v>8</v>
      </c>
      <c r="E556">
        <v>30000</v>
      </c>
      <c r="F556">
        <v>-155.88949967090201</v>
      </c>
      <c r="G556">
        <v>7.2502007737357799</v>
      </c>
      <c r="H556">
        <v>2615</v>
      </c>
      <c r="I556">
        <v>374</v>
      </c>
      <c r="J556">
        <v>121</v>
      </c>
      <c r="K556" t="str">
        <f t="shared" si="24"/>
        <v>Miami → London</v>
      </c>
      <c r="L556" s="5">
        <f t="shared" si="25"/>
        <v>46.75</v>
      </c>
      <c r="M556" s="7">
        <f t="shared" si="26"/>
        <v>45254</v>
      </c>
      <c r="N556" s="7"/>
      <c r="O556" s="7"/>
    </row>
    <row r="557" spans="1:15" x14ac:dyDescent="0.25">
      <c r="A557" t="s">
        <v>565</v>
      </c>
      <c r="B557" t="s">
        <v>4</v>
      </c>
      <c r="C557" t="s">
        <v>9</v>
      </c>
      <c r="D557">
        <v>12</v>
      </c>
      <c r="E557">
        <v>35000</v>
      </c>
      <c r="F557">
        <v>135.846163127822</v>
      </c>
      <c r="G557">
        <v>-75.729548766385506</v>
      </c>
      <c r="H557">
        <v>2931</v>
      </c>
      <c r="I557">
        <v>356</v>
      </c>
      <c r="J557">
        <v>50</v>
      </c>
      <c r="K557" t="str">
        <f t="shared" si="24"/>
        <v>Miami → Sydney</v>
      </c>
      <c r="L557" s="5">
        <f t="shared" si="25"/>
        <v>29.666666666666668</v>
      </c>
      <c r="M557" s="7">
        <f t="shared" si="26"/>
        <v>17800</v>
      </c>
      <c r="N557" s="7"/>
      <c r="O557" s="7"/>
    </row>
    <row r="558" spans="1:15" x14ac:dyDescent="0.25">
      <c r="A558" t="s">
        <v>566</v>
      </c>
      <c r="B558" t="s">
        <v>6</v>
      </c>
      <c r="C558" t="s">
        <v>20</v>
      </c>
      <c r="D558">
        <v>10</v>
      </c>
      <c r="E558">
        <v>32000</v>
      </c>
      <c r="F558">
        <v>-39.814221967604901</v>
      </c>
      <c r="G558">
        <v>11.853100856384399</v>
      </c>
      <c r="H558">
        <v>2000</v>
      </c>
      <c r="I558">
        <v>450</v>
      </c>
      <c r="J558">
        <v>200</v>
      </c>
      <c r="K558" t="str">
        <f t="shared" si="24"/>
        <v>Chicago → Dubai</v>
      </c>
      <c r="L558" s="5">
        <f t="shared" si="25"/>
        <v>45</v>
      </c>
      <c r="M558" s="7">
        <f t="shared" si="26"/>
        <v>90000</v>
      </c>
      <c r="N558" s="7"/>
      <c r="O558" s="7"/>
    </row>
    <row r="559" spans="1:15" x14ac:dyDescent="0.25">
      <c r="A559" t="s">
        <v>567</v>
      </c>
      <c r="B559" t="s">
        <v>4</v>
      </c>
      <c r="C559" t="s">
        <v>20</v>
      </c>
      <c r="D559">
        <v>9</v>
      </c>
      <c r="E559">
        <v>30000</v>
      </c>
      <c r="F559">
        <v>15.0339471363228</v>
      </c>
      <c r="G559">
        <v>73.4433381758992</v>
      </c>
      <c r="H559">
        <v>2700</v>
      </c>
      <c r="I559">
        <v>402</v>
      </c>
      <c r="J559">
        <v>128</v>
      </c>
      <c r="K559" t="str">
        <f t="shared" si="24"/>
        <v>Miami → Dubai</v>
      </c>
      <c r="L559" s="5">
        <f t="shared" si="25"/>
        <v>44.666666666666664</v>
      </c>
      <c r="M559" s="7">
        <f t="shared" si="26"/>
        <v>51456</v>
      </c>
      <c r="N559" s="7"/>
      <c r="O559" s="7"/>
    </row>
    <row r="560" spans="1:15" x14ac:dyDescent="0.25">
      <c r="A560" t="s">
        <v>568</v>
      </c>
      <c r="B560" t="s">
        <v>28</v>
      </c>
      <c r="C560" t="s">
        <v>15</v>
      </c>
      <c r="D560">
        <v>5</v>
      </c>
      <c r="E560">
        <v>35000</v>
      </c>
      <c r="F560">
        <v>168.503692338273</v>
      </c>
      <c r="G560">
        <v>-18.663727410320298</v>
      </c>
      <c r="H560">
        <v>2000</v>
      </c>
      <c r="I560">
        <v>300</v>
      </c>
      <c r="J560">
        <v>50</v>
      </c>
      <c r="K560" t="str">
        <f t="shared" si="24"/>
        <v>New York → London</v>
      </c>
      <c r="L560" s="5">
        <f t="shared" si="25"/>
        <v>60</v>
      </c>
      <c r="M560" s="7">
        <f t="shared" si="26"/>
        <v>15000</v>
      </c>
      <c r="N560" s="7"/>
      <c r="O560" s="7"/>
    </row>
    <row r="561" spans="1:15" x14ac:dyDescent="0.25">
      <c r="A561" t="s">
        <v>569</v>
      </c>
      <c r="B561" t="s">
        <v>1</v>
      </c>
      <c r="C561" t="s">
        <v>13</v>
      </c>
      <c r="D561">
        <v>9</v>
      </c>
      <c r="E561">
        <v>30000</v>
      </c>
      <c r="F561">
        <v>-156.03669795088001</v>
      </c>
      <c r="G561">
        <v>-36.661355658036001</v>
      </c>
      <c r="H561">
        <v>2647</v>
      </c>
      <c r="I561">
        <v>354</v>
      </c>
      <c r="J561">
        <v>113</v>
      </c>
      <c r="K561" t="str">
        <f t="shared" si="24"/>
        <v>Houston → Paris</v>
      </c>
      <c r="L561" s="5">
        <f t="shared" si="25"/>
        <v>39.333333333333336</v>
      </c>
      <c r="M561" s="7">
        <f t="shared" si="26"/>
        <v>40002</v>
      </c>
      <c r="N561" s="7"/>
      <c r="O561" s="7"/>
    </row>
    <row r="562" spans="1:15" x14ac:dyDescent="0.25">
      <c r="A562" t="s">
        <v>570</v>
      </c>
      <c r="B562" t="s">
        <v>28</v>
      </c>
      <c r="C562" t="s">
        <v>2</v>
      </c>
      <c r="D562">
        <v>12</v>
      </c>
      <c r="E562">
        <v>30000</v>
      </c>
      <c r="F562">
        <v>53.394482682754401</v>
      </c>
      <c r="G562">
        <v>-64.175497736756398</v>
      </c>
      <c r="H562">
        <v>2954</v>
      </c>
      <c r="I562">
        <v>397</v>
      </c>
      <c r="J562">
        <v>150</v>
      </c>
      <c r="K562" t="str">
        <f t="shared" si="24"/>
        <v>New York → Tokyo</v>
      </c>
      <c r="L562" s="5">
        <f t="shared" si="25"/>
        <v>33.083333333333336</v>
      </c>
      <c r="M562" s="7">
        <f t="shared" si="26"/>
        <v>59550</v>
      </c>
      <c r="N562" s="7"/>
      <c r="O562" s="7"/>
    </row>
    <row r="563" spans="1:15" x14ac:dyDescent="0.25">
      <c r="A563" t="s">
        <v>571</v>
      </c>
      <c r="B563" t="s">
        <v>28</v>
      </c>
      <c r="C563" t="s">
        <v>13</v>
      </c>
      <c r="D563">
        <v>5</v>
      </c>
      <c r="E563">
        <v>32000</v>
      </c>
      <c r="F563">
        <v>-153.32204787304801</v>
      </c>
      <c r="G563">
        <v>-62.739806051635703</v>
      </c>
      <c r="H563">
        <v>3500</v>
      </c>
      <c r="I563">
        <v>150</v>
      </c>
      <c r="J563">
        <v>200</v>
      </c>
      <c r="K563" t="str">
        <f t="shared" si="24"/>
        <v>New York → Paris</v>
      </c>
      <c r="L563" s="5">
        <f t="shared" si="25"/>
        <v>30</v>
      </c>
      <c r="M563" s="7">
        <f t="shared" si="26"/>
        <v>30000</v>
      </c>
      <c r="N563" s="7"/>
      <c r="O563" s="7"/>
    </row>
    <row r="564" spans="1:15" x14ac:dyDescent="0.25">
      <c r="A564" t="s">
        <v>572</v>
      </c>
      <c r="B564" t="s">
        <v>4</v>
      </c>
      <c r="C564" t="s">
        <v>9</v>
      </c>
      <c r="D564">
        <v>9</v>
      </c>
      <c r="E564">
        <v>30000</v>
      </c>
      <c r="F564">
        <v>-44.831185752059902</v>
      </c>
      <c r="G564">
        <v>-12.1011328184726</v>
      </c>
      <c r="H564">
        <v>3500</v>
      </c>
      <c r="I564">
        <v>150</v>
      </c>
      <c r="J564">
        <v>105</v>
      </c>
      <c r="K564" t="str">
        <f t="shared" si="24"/>
        <v>Miami → Sydney</v>
      </c>
      <c r="L564" s="5">
        <f t="shared" si="25"/>
        <v>16.666666666666668</v>
      </c>
      <c r="M564" s="7">
        <f t="shared" si="26"/>
        <v>15750</v>
      </c>
      <c r="N564" s="7"/>
      <c r="O564" s="7"/>
    </row>
    <row r="565" spans="1:15" x14ac:dyDescent="0.25">
      <c r="A565" t="s">
        <v>573</v>
      </c>
      <c r="B565" t="s">
        <v>1</v>
      </c>
      <c r="C565" t="s">
        <v>20</v>
      </c>
      <c r="D565">
        <v>12</v>
      </c>
      <c r="E565">
        <v>32000</v>
      </c>
      <c r="F565">
        <v>109.373236269641</v>
      </c>
      <c r="G565">
        <v>17.2223683490753</v>
      </c>
      <c r="H565">
        <v>3000</v>
      </c>
      <c r="I565">
        <v>402</v>
      </c>
      <c r="J565">
        <v>100</v>
      </c>
      <c r="K565" t="str">
        <f t="shared" si="24"/>
        <v>Houston → Dubai</v>
      </c>
      <c r="L565" s="5">
        <f t="shared" si="25"/>
        <v>33.5</v>
      </c>
      <c r="M565" s="7">
        <f t="shared" si="26"/>
        <v>40200</v>
      </c>
      <c r="N565" s="7"/>
      <c r="O565" s="7"/>
    </row>
    <row r="566" spans="1:15" x14ac:dyDescent="0.25">
      <c r="A566" t="s">
        <v>574</v>
      </c>
      <c r="B566" t="s">
        <v>1</v>
      </c>
      <c r="C566" t="s">
        <v>15</v>
      </c>
      <c r="D566">
        <v>9</v>
      </c>
      <c r="E566">
        <v>30000</v>
      </c>
      <c r="F566">
        <v>-23.949996207971601</v>
      </c>
      <c r="G566">
        <v>-75.489227069471696</v>
      </c>
      <c r="H566">
        <v>2846</v>
      </c>
      <c r="I566">
        <v>450</v>
      </c>
      <c r="J566">
        <v>50</v>
      </c>
      <c r="K566" t="str">
        <f t="shared" si="24"/>
        <v>Houston → London</v>
      </c>
      <c r="L566" s="5">
        <f t="shared" si="25"/>
        <v>50</v>
      </c>
      <c r="M566" s="7">
        <f t="shared" si="26"/>
        <v>22500</v>
      </c>
      <c r="N566" s="7"/>
      <c r="O566" s="7"/>
    </row>
    <row r="567" spans="1:15" x14ac:dyDescent="0.25">
      <c r="A567" t="s">
        <v>575</v>
      </c>
      <c r="B567" t="s">
        <v>1</v>
      </c>
      <c r="C567" t="s">
        <v>15</v>
      </c>
      <c r="D567">
        <v>9</v>
      </c>
      <c r="E567">
        <v>32000</v>
      </c>
      <c r="F567">
        <v>178.985647405062</v>
      </c>
      <c r="G567">
        <v>79.122346024529804</v>
      </c>
      <c r="H567">
        <v>2500</v>
      </c>
      <c r="I567">
        <v>300</v>
      </c>
      <c r="J567">
        <v>138</v>
      </c>
      <c r="K567" t="str">
        <f t="shared" si="24"/>
        <v>Houston → London</v>
      </c>
      <c r="L567" s="5">
        <f t="shared" si="25"/>
        <v>33.333333333333336</v>
      </c>
      <c r="M567" s="7">
        <f t="shared" si="26"/>
        <v>41400</v>
      </c>
      <c r="N567" s="7"/>
      <c r="O567" s="7"/>
    </row>
    <row r="568" spans="1:15" x14ac:dyDescent="0.25">
      <c r="A568" t="s">
        <v>576</v>
      </c>
      <c r="B568" t="s">
        <v>6</v>
      </c>
      <c r="C568" t="s">
        <v>2</v>
      </c>
      <c r="D568">
        <v>5</v>
      </c>
      <c r="E568">
        <v>35000</v>
      </c>
      <c r="F568">
        <v>21.261342580776802</v>
      </c>
      <c r="G568">
        <v>45.924051140135298</v>
      </c>
      <c r="H568">
        <v>2500</v>
      </c>
      <c r="I568">
        <v>450</v>
      </c>
      <c r="J568">
        <v>100</v>
      </c>
      <c r="K568" t="str">
        <f t="shared" si="24"/>
        <v>Chicago → Tokyo</v>
      </c>
      <c r="L568" s="5">
        <f t="shared" si="25"/>
        <v>90</v>
      </c>
      <c r="M568" s="7">
        <f t="shared" si="26"/>
        <v>45000</v>
      </c>
      <c r="N568" s="7"/>
      <c r="O568" s="7"/>
    </row>
    <row r="569" spans="1:15" x14ac:dyDescent="0.25">
      <c r="A569" t="s">
        <v>577</v>
      </c>
      <c r="B569" t="s">
        <v>4</v>
      </c>
      <c r="C569" t="s">
        <v>13</v>
      </c>
      <c r="D569">
        <v>8</v>
      </c>
      <c r="E569">
        <v>30000</v>
      </c>
      <c r="F569">
        <v>-64.381625051056702</v>
      </c>
      <c r="G569">
        <v>15.592305291059301</v>
      </c>
      <c r="H569">
        <v>2718</v>
      </c>
      <c r="I569">
        <v>354</v>
      </c>
      <c r="J569">
        <v>115</v>
      </c>
      <c r="K569" t="str">
        <f t="shared" si="24"/>
        <v>Miami → Paris</v>
      </c>
      <c r="L569" s="5">
        <f t="shared" si="25"/>
        <v>44.25</v>
      </c>
      <c r="M569" s="7">
        <f t="shared" si="26"/>
        <v>40710</v>
      </c>
      <c r="N569" s="7"/>
      <c r="O569" s="7"/>
    </row>
    <row r="570" spans="1:15" x14ac:dyDescent="0.25">
      <c r="A570" t="s">
        <v>578</v>
      </c>
      <c r="B570" t="s">
        <v>1</v>
      </c>
      <c r="C570" t="s">
        <v>2</v>
      </c>
      <c r="D570">
        <v>10</v>
      </c>
      <c r="E570">
        <v>32000</v>
      </c>
      <c r="F570">
        <v>-100.759922674289</v>
      </c>
      <c r="G570">
        <v>59.118960769018301</v>
      </c>
      <c r="H570">
        <v>2500</v>
      </c>
      <c r="I570">
        <v>600</v>
      </c>
      <c r="J570">
        <v>200</v>
      </c>
      <c r="K570" t="str">
        <f t="shared" si="24"/>
        <v>Houston → Tokyo</v>
      </c>
      <c r="L570" s="5">
        <f t="shared" si="25"/>
        <v>60</v>
      </c>
      <c r="M570" s="7">
        <f t="shared" si="26"/>
        <v>120000</v>
      </c>
      <c r="N570" s="7"/>
      <c r="O570" s="7"/>
    </row>
    <row r="571" spans="1:15" x14ac:dyDescent="0.25">
      <c r="A571" t="s">
        <v>579</v>
      </c>
      <c r="B571" t="s">
        <v>6</v>
      </c>
      <c r="C571" t="s">
        <v>20</v>
      </c>
      <c r="D571">
        <v>15</v>
      </c>
      <c r="E571">
        <v>32000</v>
      </c>
      <c r="F571">
        <v>-53.812607656981697</v>
      </c>
      <c r="G571">
        <v>-75.566383773819595</v>
      </c>
      <c r="H571">
        <v>2636</v>
      </c>
      <c r="I571">
        <v>600</v>
      </c>
      <c r="J571">
        <v>114</v>
      </c>
      <c r="K571" t="str">
        <f t="shared" si="24"/>
        <v>Chicago → Dubai</v>
      </c>
      <c r="L571" s="5">
        <f t="shared" si="25"/>
        <v>40</v>
      </c>
      <c r="M571" s="7">
        <f t="shared" si="26"/>
        <v>68400</v>
      </c>
      <c r="N571" s="7"/>
      <c r="O571" s="7"/>
    </row>
    <row r="572" spans="1:15" x14ac:dyDescent="0.25">
      <c r="A572" t="s">
        <v>580</v>
      </c>
      <c r="B572" t="s">
        <v>11</v>
      </c>
      <c r="C572" t="s">
        <v>2</v>
      </c>
      <c r="D572">
        <v>10</v>
      </c>
      <c r="E572">
        <v>30000</v>
      </c>
      <c r="F572">
        <v>-45.888021446561702</v>
      </c>
      <c r="G572">
        <v>-4.1690020080376096</v>
      </c>
      <c r="H572">
        <v>2586</v>
      </c>
      <c r="I572">
        <v>397</v>
      </c>
      <c r="J572">
        <v>119</v>
      </c>
      <c r="K572" t="str">
        <f t="shared" si="24"/>
        <v>Los Angeles → Tokyo</v>
      </c>
      <c r="L572" s="5">
        <f t="shared" si="25"/>
        <v>39.700000000000003</v>
      </c>
      <c r="M572" s="7">
        <f t="shared" si="26"/>
        <v>47243</v>
      </c>
      <c r="N572" s="7"/>
      <c r="O572" s="7"/>
    </row>
    <row r="573" spans="1:15" x14ac:dyDescent="0.25">
      <c r="A573" t="s">
        <v>581</v>
      </c>
      <c r="B573" t="s">
        <v>11</v>
      </c>
      <c r="C573" t="s">
        <v>15</v>
      </c>
      <c r="D573">
        <v>5</v>
      </c>
      <c r="E573">
        <v>30000</v>
      </c>
      <c r="F573">
        <v>-155.26307601937401</v>
      </c>
      <c r="G573">
        <v>23.416762835099401</v>
      </c>
      <c r="H573">
        <v>3000</v>
      </c>
      <c r="I573">
        <v>150</v>
      </c>
      <c r="J573">
        <v>200</v>
      </c>
      <c r="K573" t="str">
        <f t="shared" si="24"/>
        <v>Los Angeles → London</v>
      </c>
      <c r="L573" s="5">
        <f t="shared" si="25"/>
        <v>30</v>
      </c>
      <c r="M573" s="7">
        <f t="shared" si="26"/>
        <v>30000</v>
      </c>
      <c r="N573" s="7"/>
      <c r="O573" s="7"/>
    </row>
    <row r="574" spans="1:15" x14ac:dyDescent="0.25">
      <c r="A574" t="s">
        <v>582</v>
      </c>
      <c r="B574" t="s">
        <v>6</v>
      </c>
      <c r="C574" t="s">
        <v>15</v>
      </c>
      <c r="D574">
        <v>9</v>
      </c>
      <c r="E574">
        <v>32000</v>
      </c>
      <c r="F574">
        <v>-46.953288206361698</v>
      </c>
      <c r="G574">
        <v>59.157523101292099</v>
      </c>
      <c r="H574">
        <v>2500</v>
      </c>
      <c r="I574">
        <v>450</v>
      </c>
      <c r="J574">
        <v>116</v>
      </c>
      <c r="K574" t="str">
        <f t="shared" si="24"/>
        <v>Chicago → London</v>
      </c>
      <c r="L574" s="5">
        <f t="shared" si="25"/>
        <v>50</v>
      </c>
      <c r="M574" s="7">
        <f t="shared" si="26"/>
        <v>52200</v>
      </c>
      <c r="N574" s="7"/>
      <c r="O574" s="7"/>
    </row>
    <row r="575" spans="1:15" x14ac:dyDescent="0.25">
      <c r="A575" t="s">
        <v>583</v>
      </c>
      <c r="B575" t="s">
        <v>6</v>
      </c>
      <c r="C575" t="s">
        <v>9</v>
      </c>
      <c r="D575">
        <v>12</v>
      </c>
      <c r="E575">
        <v>30000</v>
      </c>
      <c r="F575">
        <v>-12.874132893879001</v>
      </c>
      <c r="G575">
        <v>51.024520808868203</v>
      </c>
      <c r="H575">
        <v>3500</v>
      </c>
      <c r="I575">
        <v>300</v>
      </c>
      <c r="J575">
        <v>200</v>
      </c>
      <c r="K575" t="str">
        <f t="shared" si="24"/>
        <v>Chicago → Sydney</v>
      </c>
      <c r="L575" s="5">
        <f t="shared" si="25"/>
        <v>25</v>
      </c>
      <c r="M575" s="7">
        <f t="shared" si="26"/>
        <v>60000</v>
      </c>
      <c r="N575" s="7"/>
      <c r="O575" s="7"/>
    </row>
    <row r="576" spans="1:15" x14ac:dyDescent="0.25">
      <c r="A576" t="s">
        <v>584</v>
      </c>
      <c r="B576" t="s">
        <v>4</v>
      </c>
      <c r="C576" t="s">
        <v>9</v>
      </c>
      <c r="D576">
        <v>12</v>
      </c>
      <c r="E576">
        <v>30000</v>
      </c>
      <c r="F576">
        <v>80.185590805969696</v>
      </c>
      <c r="G576">
        <v>-40.127535051588097</v>
      </c>
      <c r="H576">
        <v>2931</v>
      </c>
      <c r="I576">
        <v>600</v>
      </c>
      <c r="J576">
        <v>200</v>
      </c>
      <c r="K576" t="str">
        <f t="shared" si="24"/>
        <v>Miami → Sydney</v>
      </c>
      <c r="L576" s="5">
        <f t="shared" si="25"/>
        <v>50</v>
      </c>
      <c r="M576" s="7">
        <f t="shared" si="26"/>
        <v>120000</v>
      </c>
      <c r="N576" s="7"/>
      <c r="O576" s="7"/>
    </row>
    <row r="577" spans="1:15" x14ac:dyDescent="0.25">
      <c r="A577" t="s">
        <v>585</v>
      </c>
      <c r="B577" t="s">
        <v>4</v>
      </c>
      <c r="C577" t="s">
        <v>20</v>
      </c>
      <c r="D577">
        <v>9</v>
      </c>
      <c r="E577">
        <v>30000</v>
      </c>
      <c r="F577">
        <v>56.422614499778902</v>
      </c>
      <c r="G577">
        <v>79.358430520656796</v>
      </c>
      <c r="H577">
        <v>2700</v>
      </c>
      <c r="I577">
        <v>402</v>
      </c>
      <c r="J577">
        <v>128</v>
      </c>
      <c r="K577" t="str">
        <f t="shared" si="24"/>
        <v>Miami → Dubai</v>
      </c>
      <c r="L577" s="5">
        <f t="shared" si="25"/>
        <v>44.666666666666664</v>
      </c>
      <c r="M577" s="7">
        <f t="shared" si="26"/>
        <v>51456</v>
      </c>
      <c r="N577" s="7"/>
      <c r="O577" s="7"/>
    </row>
    <row r="578" spans="1:15" x14ac:dyDescent="0.25">
      <c r="A578" t="s">
        <v>586</v>
      </c>
      <c r="B578" t="s">
        <v>11</v>
      </c>
      <c r="C578" t="s">
        <v>13</v>
      </c>
      <c r="D578">
        <v>8</v>
      </c>
      <c r="E578">
        <v>30000</v>
      </c>
      <c r="F578">
        <v>75.155635882495503</v>
      </c>
      <c r="G578">
        <v>-67.617748542443294</v>
      </c>
      <c r="H578">
        <v>2882</v>
      </c>
      <c r="I578">
        <v>354</v>
      </c>
      <c r="J578">
        <v>125</v>
      </c>
      <c r="K578" t="str">
        <f t="shared" si="24"/>
        <v>Los Angeles → Paris</v>
      </c>
      <c r="L578" s="5">
        <f t="shared" si="25"/>
        <v>44.25</v>
      </c>
      <c r="M578" s="7">
        <f t="shared" si="26"/>
        <v>44250</v>
      </c>
      <c r="N578" s="7"/>
      <c r="O578" s="7"/>
    </row>
    <row r="579" spans="1:15" x14ac:dyDescent="0.25">
      <c r="A579" t="s">
        <v>587</v>
      </c>
      <c r="B579" t="s">
        <v>1</v>
      </c>
      <c r="C579" t="s">
        <v>2</v>
      </c>
      <c r="D579">
        <v>10</v>
      </c>
      <c r="E579">
        <v>30000</v>
      </c>
      <c r="F579">
        <v>-176.98907452433099</v>
      </c>
      <c r="G579">
        <v>67.524051351807401</v>
      </c>
      <c r="H579">
        <v>2550</v>
      </c>
      <c r="I579">
        <v>600</v>
      </c>
      <c r="J579">
        <v>100</v>
      </c>
      <c r="K579" t="str">
        <f t="shared" ref="K579:K642" si="27">B579 &amp; " → " &amp; C579</f>
        <v>Houston → Tokyo</v>
      </c>
      <c r="L579" s="5">
        <f t="shared" ref="L579:L642" si="28">I579/D579</f>
        <v>60</v>
      </c>
      <c r="M579" s="7">
        <f t="shared" ref="M579:M642" si="29">I579*J579</f>
        <v>60000</v>
      </c>
      <c r="N579" s="7"/>
      <c r="O579" s="7"/>
    </row>
    <row r="580" spans="1:15" x14ac:dyDescent="0.25">
      <c r="A580" t="s">
        <v>588</v>
      </c>
      <c r="B580" t="s">
        <v>11</v>
      </c>
      <c r="C580" t="s">
        <v>20</v>
      </c>
      <c r="D580">
        <v>11</v>
      </c>
      <c r="E580">
        <v>30000</v>
      </c>
      <c r="F580">
        <v>-101.639736151007</v>
      </c>
      <c r="G580">
        <v>84.769244928831299</v>
      </c>
      <c r="H580">
        <v>2794</v>
      </c>
      <c r="I580">
        <v>402</v>
      </c>
      <c r="J580">
        <v>113</v>
      </c>
      <c r="K580" t="str">
        <f t="shared" si="27"/>
        <v>Los Angeles → Dubai</v>
      </c>
      <c r="L580" s="5">
        <f t="shared" si="28"/>
        <v>36.545454545454547</v>
      </c>
      <c r="M580" s="7">
        <f t="shared" si="29"/>
        <v>45426</v>
      </c>
      <c r="N580" s="7"/>
      <c r="O580" s="7"/>
    </row>
    <row r="581" spans="1:15" x14ac:dyDescent="0.25">
      <c r="A581" t="s">
        <v>589</v>
      </c>
      <c r="B581" t="s">
        <v>1</v>
      </c>
      <c r="C581" t="s">
        <v>9</v>
      </c>
      <c r="D581">
        <v>9</v>
      </c>
      <c r="E581">
        <v>35000</v>
      </c>
      <c r="F581">
        <v>58.206343823948302</v>
      </c>
      <c r="G581">
        <v>-58.112365819927398</v>
      </c>
      <c r="H581">
        <v>2500</v>
      </c>
      <c r="I581">
        <v>356</v>
      </c>
      <c r="J581">
        <v>127</v>
      </c>
      <c r="K581" t="str">
        <f t="shared" si="27"/>
        <v>Houston → Sydney</v>
      </c>
      <c r="L581" s="5">
        <f t="shared" si="28"/>
        <v>39.555555555555557</v>
      </c>
      <c r="M581" s="7">
        <f t="shared" si="29"/>
        <v>45212</v>
      </c>
      <c r="N581" s="7"/>
      <c r="O581" s="7"/>
    </row>
    <row r="582" spans="1:15" x14ac:dyDescent="0.25">
      <c r="A582" t="s">
        <v>590</v>
      </c>
      <c r="B582" t="s">
        <v>1</v>
      </c>
      <c r="C582" t="s">
        <v>2</v>
      </c>
      <c r="D582">
        <v>10</v>
      </c>
      <c r="E582">
        <v>30000</v>
      </c>
      <c r="F582">
        <v>-5.76382745529102</v>
      </c>
      <c r="G582">
        <v>39.971891556681399</v>
      </c>
      <c r="H582">
        <v>2550</v>
      </c>
      <c r="I582">
        <v>397</v>
      </c>
      <c r="J582">
        <v>120</v>
      </c>
      <c r="K582" t="str">
        <f t="shared" si="27"/>
        <v>Houston → Tokyo</v>
      </c>
      <c r="L582" s="5">
        <f t="shared" si="28"/>
        <v>39.700000000000003</v>
      </c>
      <c r="M582" s="7">
        <f t="shared" si="29"/>
        <v>47640</v>
      </c>
      <c r="N582" s="7"/>
      <c r="O582" s="7"/>
    </row>
    <row r="583" spans="1:15" x14ac:dyDescent="0.25">
      <c r="A583" t="s">
        <v>591</v>
      </c>
      <c r="B583" t="s">
        <v>4</v>
      </c>
      <c r="C583" t="s">
        <v>9</v>
      </c>
      <c r="D583">
        <v>10</v>
      </c>
      <c r="E583">
        <v>30000</v>
      </c>
      <c r="F583">
        <v>-178.08714875939501</v>
      </c>
      <c r="G583">
        <v>-82.748606619960299</v>
      </c>
      <c r="H583">
        <v>2931</v>
      </c>
      <c r="I583">
        <v>356</v>
      </c>
      <c r="J583">
        <v>105</v>
      </c>
      <c r="K583" t="str">
        <f t="shared" si="27"/>
        <v>Miami → Sydney</v>
      </c>
      <c r="L583" s="5">
        <f t="shared" si="28"/>
        <v>35.6</v>
      </c>
      <c r="M583" s="7">
        <f t="shared" si="29"/>
        <v>37380</v>
      </c>
      <c r="N583" s="7"/>
      <c r="O583" s="7"/>
    </row>
    <row r="584" spans="1:15" x14ac:dyDescent="0.25">
      <c r="A584" t="s">
        <v>592</v>
      </c>
      <c r="B584" t="s">
        <v>28</v>
      </c>
      <c r="C584" t="s">
        <v>2</v>
      </c>
      <c r="D584">
        <v>15</v>
      </c>
      <c r="E584">
        <v>30000</v>
      </c>
      <c r="F584">
        <v>109.618071275456</v>
      </c>
      <c r="G584">
        <v>-17.023891474952102</v>
      </c>
      <c r="H584">
        <v>2954</v>
      </c>
      <c r="I584">
        <v>450</v>
      </c>
      <c r="J584">
        <v>100</v>
      </c>
      <c r="K584" t="str">
        <f t="shared" si="27"/>
        <v>New York → Tokyo</v>
      </c>
      <c r="L584" s="5">
        <f t="shared" si="28"/>
        <v>30</v>
      </c>
      <c r="M584" s="7">
        <f t="shared" si="29"/>
        <v>45000</v>
      </c>
      <c r="N584" s="7"/>
      <c r="O584" s="7"/>
    </row>
    <row r="585" spans="1:15" x14ac:dyDescent="0.25">
      <c r="A585" t="s">
        <v>593</v>
      </c>
      <c r="B585" t="s">
        <v>28</v>
      </c>
      <c r="C585" t="s">
        <v>13</v>
      </c>
      <c r="D585">
        <v>9</v>
      </c>
      <c r="E585">
        <v>30000</v>
      </c>
      <c r="F585">
        <v>98.211446384521494</v>
      </c>
      <c r="G585">
        <v>2.93099385558132</v>
      </c>
      <c r="H585">
        <v>2847</v>
      </c>
      <c r="I585">
        <v>354</v>
      </c>
      <c r="J585">
        <v>122</v>
      </c>
      <c r="K585" t="str">
        <f t="shared" si="27"/>
        <v>New York → Paris</v>
      </c>
      <c r="L585" s="5">
        <f t="shared" si="28"/>
        <v>39.333333333333336</v>
      </c>
      <c r="M585" s="7">
        <f t="shared" si="29"/>
        <v>43188</v>
      </c>
      <c r="N585" s="7"/>
      <c r="O585" s="7"/>
    </row>
    <row r="586" spans="1:15" x14ac:dyDescent="0.25">
      <c r="A586" t="s">
        <v>594</v>
      </c>
      <c r="B586" t="s">
        <v>6</v>
      </c>
      <c r="C586" t="s">
        <v>20</v>
      </c>
      <c r="D586">
        <v>10</v>
      </c>
      <c r="E586">
        <v>30000</v>
      </c>
      <c r="F586">
        <v>17.430898677682499</v>
      </c>
      <c r="G586">
        <v>14.516140663734101</v>
      </c>
      <c r="H586">
        <v>2636</v>
      </c>
      <c r="I586">
        <v>402</v>
      </c>
      <c r="J586">
        <v>114</v>
      </c>
      <c r="K586" t="str">
        <f t="shared" si="27"/>
        <v>Chicago → Dubai</v>
      </c>
      <c r="L586" s="5">
        <f t="shared" si="28"/>
        <v>40.200000000000003</v>
      </c>
      <c r="M586" s="7">
        <f t="shared" si="29"/>
        <v>45828</v>
      </c>
      <c r="N586" s="7"/>
      <c r="O586" s="7"/>
    </row>
    <row r="587" spans="1:15" x14ac:dyDescent="0.25">
      <c r="A587" t="s">
        <v>595</v>
      </c>
      <c r="B587" t="s">
        <v>4</v>
      </c>
      <c r="C587" t="s">
        <v>2</v>
      </c>
      <c r="D587">
        <v>15</v>
      </c>
      <c r="E587">
        <v>35000</v>
      </c>
      <c r="F587">
        <v>-156.07320272054201</v>
      </c>
      <c r="G587">
        <v>78.4687046847407</v>
      </c>
      <c r="H587">
        <v>3000</v>
      </c>
      <c r="I587">
        <v>450</v>
      </c>
      <c r="J587">
        <v>126</v>
      </c>
      <c r="K587" t="str">
        <f t="shared" si="27"/>
        <v>Miami → Tokyo</v>
      </c>
      <c r="L587" s="5">
        <f t="shared" si="28"/>
        <v>30</v>
      </c>
      <c r="M587" s="7">
        <f t="shared" si="29"/>
        <v>56700</v>
      </c>
      <c r="N587" s="7"/>
      <c r="O587" s="7"/>
    </row>
    <row r="588" spans="1:15" x14ac:dyDescent="0.25">
      <c r="A588" t="s">
        <v>596</v>
      </c>
      <c r="B588" t="s">
        <v>1</v>
      </c>
      <c r="C588" t="s">
        <v>15</v>
      </c>
      <c r="D588">
        <v>7</v>
      </c>
      <c r="E588">
        <v>35000</v>
      </c>
      <c r="F588">
        <v>95.945417831730495</v>
      </c>
      <c r="G588">
        <v>31.005123712955001</v>
      </c>
      <c r="H588">
        <v>2500</v>
      </c>
      <c r="I588">
        <v>150</v>
      </c>
      <c r="J588">
        <v>50</v>
      </c>
      <c r="K588" t="str">
        <f t="shared" si="27"/>
        <v>Houston → London</v>
      </c>
      <c r="L588" s="5">
        <f t="shared" si="28"/>
        <v>21.428571428571427</v>
      </c>
      <c r="M588" s="7">
        <f t="shared" si="29"/>
        <v>7500</v>
      </c>
      <c r="N588" s="7"/>
      <c r="O588" s="7"/>
    </row>
    <row r="589" spans="1:15" x14ac:dyDescent="0.25">
      <c r="A589" t="s">
        <v>597</v>
      </c>
      <c r="B589" t="s">
        <v>28</v>
      </c>
      <c r="C589" t="s">
        <v>15</v>
      </c>
      <c r="D589">
        <v>9</v>
      </c>
      <c r="E589">
        <v>30000</v>
      </c>
      <c r="F589">
        <v>30.136891583291</v>
      </c>
      <c r="G589">
        <v>-3.36996878053733</v>
      </c>
      <c r="H589">
        <v>2760</v>
      </c>
      <c r="I589">
        <v>374</v>
      </c>
      <c r="J589">
        <v>107</v>
      </c>
      <c r="K589" t="str">
        <f t="shared" si="27"/>
        <v>New York → London</v>
      </c>
      <c r="L589" s="5">
        <f t="shared" si="28"/>
        <v>41.555555555555557</v>
      </c>
      <c r="M589" s="7">
        <f t="shared" si="29"/>
        <v>40018</v>
      </c>
      <c r="N589" s="7"/>
      <c r="O589" s="7"/>
    </row>
    <row r="590" spans="1:15" x14ac:dyDescent="0.25">
      <c r="A590" t="s">
        <v>598</v>
      </c>
      <c r="B590" t="s">
        <v>1</v>
      </c>
      <c r="C590" t="s">
        <v>2</v>
      </c>
      <c r="D590">
        <v>10</v>
      </c>
      <c r="E590">
        <v>30000</v>
      </c>
      <c r="F590">
        <v>101.505591776865</v>
      </c>
      <c r="G590">
        <v>55.741506527860103</v>
      </c>
      <c r="H590">
        <v>2550</v>
      </c>
      <c r="I590">
        <v>397</v>
      </c>
      <c r="J590">
        <v>120</v>
      </c>
      <c r="K590" t="str">
        <f t="shared" si="27"/>
        <v>Houston → Tokyo</v>
      </c>
      <c r="L590" s="5">
        <f t="shared" si="28"/>
        <v>39.700000000000003</v>
      </c>
      <c r="M590" s="7">
        <f t="shared" si="29"/>
        <v>47640</v>
      </c>
      <c r="N590" s="7"/>
      <c r="O590" s="7"/>
    </row>
    <row r="591" spans="1:15" x14ac:dyDescent="0.25">
      <c r="A591" t="s">
        <v>599</v>
      </c>
      <c r="B591" t="s">
        <v>28</v>
      </c>
      <c r="C591" t="s">
        <v>2</v>
      </c>
      <c r="D591">
        <v>9</v>
      </c>
      <c r="E591">
        <v>30000</v>
      </c>
      <c r="F591">
        <v>90.628917262502597</v>
      </c>
      <c r="G591">
        <v>81.095907771793605</v>
      </c>
      <c r="H591">
        <v>2954</v>
      </c>
      <c r="I591">
        <v>397</v>
      </c>
      <c r="J591">
        <v>128</v>
      </c>
      <c r="K591" t="str">
        <f t="shared" si="27"/>
        <v>New York → Tokyo</v>
      </c>
      <c r="L591" s="5">
        <f t="shared" si="28"/>
        <v>44.111111111111114</v>
      </c>
      <c r="M591" s="7">
        <f t="shared" si="29"/>
        <v>50816</v>
      </c>
      <c r="N591" s="7"/>
      <c r="O591" s="7"/>
    </row>
    <row r="592" spans="1:15" x14ac:dyDescent="0.25">
      <c r="A592" t="s">
        <v>600</v>
      </c>
      <c r="B592" t="s">
        <v>28</v>
      </c>
      <c r="C592" t="s">
        <v>2</v>
      </c>
      <c r="D592">
        <v>9</v>
      </c>
      <c r="E592">
        <v>30000</v>
      </c>
      <c r="F592">
        <v>109.080745904821</v>
      </c>
      <c r="G592">
        <v>-86.028093237187605</v>
      </c>
      <c r="H592">
        <v>2954</v>
      </c>
      <c r="I592">
        <v>397</v>
      </c>
      <c r="J592">
        <v>128</v>
      </c>
      <c r="K592" t="str">
        <f t="shared" si="27"/>
        <v>New York → Tokyo</v>
      </c>
      <c r="L592" s="5">
        <f t="shared" si="28"/>
        <v>44.111111111111114</v>
      </c>
      <c r="M592" s="7">
        <f t="shared" si="29"/>
        <v>50816</v>
      </c>
      <c r="N592" s="7"/>
      <c r="O592" s="7"/>
    </row>
    <row r="593" spans="1:15" x14ac:dyDescent="0.25">
      <c r="A593" t="s">
        <v>601</v>
      </c>
      <c r="B593" t="s">
        <v>28</v>
      </c>
      <c r="C593" t="s">
        <v>15</v>
      </c>
      <c r="D593">
        <v>5</v>
      </c>
      <c r="E593">
        <v>30000</v>
      </c>
      <c r="F593">
        <v>6.48290390566493</v>
      </c>
      <c r="G593">
        <v>86.853829006086997</v>
      </c>
      <c r="H593">
        <v>2000</v>
      </c>
      <c r="I593">
        <v>600</v>
      </c>
      <c r="J593">
        <v>100</v>
      </c>
      <c r="K593" t="str">
        <f t="shared" si="27"/>
        <v>New York → London</v>
      </c>
      <c r="L593" s="5">
        <f t="shared" si="28"/>
        <v>120</v>
      </c>
      <c r="M593" s="7">
        <f t="shared" si="29"/>
        <v>60000</v>
      </c>
      <c r="N593" s="7"/>
      <c r="O593" s="7"/>
    </row>
    <row r="594" spans="1:15" x14ac:dyDescent="0.25">
      <c r="A594" t="s">
        <v>602</v>
      </c>
      <c r="B594" t="s">
        <v>4</v>
      </c>
      <c r="C594" t="s">
        <v>15</v>
      </c>
      <c r="D594">
        <v>8</v>
      </c>
      <c r="E594">
        <v>35000</v>
      </c>
      <c r="F594">
        <v>-129.48317345033499</v>
      </c>
      <c r="G594">
        <v>-74.496214968537501</v>
      </c>
      <c r="H594">
        <v>3500</v>
      </c>
      <c r="I594">
        <v>600</v>
      </c>
      <c r="J594">
        <v>50</v>
      </c>
      <c r="K594" t="str">
        <f t="shared" si="27"/>
        <v>Miami → London</v>
      </c>
      <c r="L594" s="5">
        <f t="shared" si="28"/>
        <v>75</v>
      </c>
      <c r="M594" s="7">
        <f t="shared" si="29"/>
        <v>30000</v>
      </c>
      <c r="N594" s="7"/>
      <c r="O594" s="7"/>
    </row>
    <row r="595" spans="1:15" x14ac:dyDescent="0.25">
      <c r="A595" t="s">
        <v>603</v>
      </c>
      <c r="B595" t="s">
        <v>11</v>
      </c>
      <c r="C595" t="s">
        <v>2</v>
      </c>
      <c r="D595">
        <v>10</v>
      </c>
      <c r="E595">
        <v>32000</v>
      </c>
      <c r="F595">
        <v>61.616690416687902</v>
      </c>
      <c r="G595">
        <v>56.589620268376997</v>
      </c>
      <c r="H595">
        <v>2500</v>
      </c>
      <c r="I595">
        <v>450</v>
      </c>
      <c r="J595">
        <v>100</v>
      </c>
      <c r="K595" t="str">
        <f t="shared" si="27"/>
        <v>Los Angeles → Tokyo</v>
      </c>
      <c r="L595" s="5">
        <f t="shared" si="28"/>
        <v>45</v>
      </c>
      <c r="M595" s="7">
        <f t="shared" si="29"/>
        <v>45000</v>
      </c>
      <c r="N595" s="7"/>
      <c r="O595" s="7"/>
    </row>
    <row r="596" spans="1:15" x14ac:dyDescent="0.25">
      <c r="A596" t="s">
        <v>604</v>
      </c>
      <c r="B596" t="s">
        <v>1</v>
      </c>
      <c r="C596" t="s">
        <v>9</v>
      </c>
      <c r="D596">
        <v>9</v>
      </c>
      <c r="E596">
        <v>30000</v>
      </c>
      <c r="F596">
        <v>43.3705626187094</v>
      </c>
      <c r="G596">
        <v>-39.539744540745801</v>
      </c>
      <c r="H596">
        <v>2500</v>
      </c>
      <c r="I596">
        <v>356</v>
      </c>
      <c r="J596">
        <v>127</v>
      </c>
      <c r="K596" t="str">
        <f t="shared" si="27"/>
        <v>Houston → Sydney</v>
      </c>
      <c r="L596" s="5">
        <f t="shared" si="28"/>
        <v>39.555555555555557</v>
      </c>
      <c r="M596" s="7">
        <f t="shared" si="29"/>
        <v>45212</v>
      </c>
      <c r="N596" s="7"/>
      <c r="O596" s="7"/>
    </row>
    <row r="597" spans="1:15" x14ac:dyDescent="0.25">
      <c r="A597" t="s">
        <v>605</v>
      </c>
      <c r="B597" t="s">
        <v>4</v>
      </c>
      <c r="C597" t="s">
        <v>9</v>
      </c>
      <c r="D597">
        <v>10</v>
      </c>
      <c r="E597">
        <v>30000</v>
      </c>
      <c r="F597">
        <v>87.211147391671403</v>
      </c>
      <c r="G597">
        <v>-66.207661604303098</v>
      </c>
      <c r="H597">
        <v>2931</v>
      </c>
      <c r="I597">
        <v>356</v>
      </c>
      <c r="J597">
        <v>105</v>
      </c>
      <c r="K597" t="str">
        <f t="shared" si="27"/>
        <v>Miami → Sydney</v>
      </c>
      <c r="L597" s="5">
        <f t="shared" si="28"/>
        <v>35.6</v>
      </c>
      <c r="M597" s="7">
        <f t="shared" si="29"/>
        <v>37380</v>
      </c>
      <c r="N597" s="7"/>
      <c r="O597" s="7"/>
    </row>
    <row r="598" spans="1:15" x14ac:dyDescent="0.25">
      <c r="A598" t="s">
        <v>606</v>
      </c>
      <c r="B598" t="s">
        <v>4</v>
      </c>
      <c r="C598" t="s">
        <v>13</v>
      </c>
      <c r="D598">
        <v>8</v>
      </c>
      <c r="E598">
        <v>30000</v>
      </c>
      <c r="F598">
        <v>-118.842837821735</v>
      </c>
      <c r="G598">
        <v>-10.8259848515097</v>
      </c>
      <c r="H598">
        <v>2718</v>
      </c>
      <c r="I598">
        <v>354</v>
      </c>
      <c r="J598">
        <v>115</v>
      </c>
      <c r="K598" t="str">
        <f t="shared" si="27"/>
        <v>Miami → Paris</v>
      </c>
      <c r="L598" s="5">
        <f t="shared" si="28"/>
        <v>44.25</v>
      </c>
      <c r="M598" s="7">
        <f t="shared" si="29"/>
        <v>40710</v>
      </c>
      <c r="N598" s="7"/>
      <c r="O598" s="7"/>
    </row>
    <row r="599" spans="1:15" x14ac:dyDescent="0.25">
      <c r="A599" t="s">
        <v>607</v>
      </c>
      <c r="B599" t="s">
        <v>4</v>
      </c>
      <c r="C599" t="s">
        <v>20</v>
      </c>
      <c r="D599">
        <v>5</v>
      </c>
      <c r="E599">
        <v>30000</v>
      </c>
      <c r="F599">
        <v>-109.808928035896</v>
      </c>
      <c r="G599">
        <v>25.912184300570399</v>
      </c>
      <c r="H599">
        <v>2000</v>
      </c>
      <c r="I599">
        <v>450</v>
      </c>
      <c r="J599">
        <v>128</v>
      </c>
      <c r="K599" t="str">
        <f t="shared" si="27"/>
        <v>Miami → Dubai</v>
      </c>
      <c r="L599" s="5">
        <f t="shared" si="28"/>
        <v>90</v>
      </c>
      <c r="M599" s="7">
        <f t="shared" si="29"/>
        <v>57600</v>
      </c>
      <c r="N599" s="7"/>
      <c r="O599" s="7"/>
    </row>
    <row r="600" spans="1:15" x14ac:dyDescent="0.25">
      <c r="A600" t="s">
        <v>608</v>
      </c>
      <c r="B600" t="s">
        <v>4</v>
      </c>
      <c r="C600" t="s">
        <v>9</v>
      </c>
      <c r="D600">
        <v>9</v>
      </c>
      <c r="E600">
        <v>30000</v>
      </c>
      <c r="F600">
        <v>140.54742619895799</v>
      </c>
      <c r="G600">
        <v>-21.428667895774499</v>
      </c>
      <c r="H600">
        <v>2931</v>
      </c>
      <c r="I600">
        <v>450</v>
      </c>
      <c r="J600">
        <v>100</v>
      </c>
      <c r="K600" t="str">
        <f t="shared" si="27"/>
        <v>Miami → Sydney</v>
      </c>
      <c r="L600" s="5">
        <f t="shared" si="28"/>
        <v>50</v>
      </c>
      <c r="M600" s="7">
        <f t="shared" si="29"/>
        <v>45000</v>
      </c>
      <c r="N600" s="7"/>
      <c r="O600" s="7"/>
    </row>
    <row r="601" spans="1:15" x14ac:dyDescent="0.25">
      <c r="A601" t="s">
        <v>609</v>
      </c>
      <c r="B601" t="s">
        <v>4</v>
      </c>
      <c r="C601" t="s">
        <v>15</v>
      </c>
      <c r="D601">
        <v>8</v>
      </c>
      <c r="E601">
        <v>30000</v>
      </c>
      <c r="F601">
        <v>89.992007442745503</v>
      </c>
      <c r="G601">
        <v>-80.178226509114197</v>
      </c>
      <c r="H601">
        <v>2615</v>
      </c>
      <c r="I601">
        <v>374</v>
      </c>
      <c r="J601">
        <v>121</v>
      </c>
      <c r="K601" t="str">
        <f t="shared" si="27"/>
        <v>Miami → London</v>
      </c>
      <c r="L601" s="5">
        <f t="shared" si="28"/>
        <v>46.75</v>
      </c>
      <c r="M601" s="7">
        <f t="shared" si="29"/>
        <v>45254</v>
      </c>
      <c r="N601" s="7"/>
      <c r="O601" s="7"/>
    </row>
    <row r="602" spans="1:15" x14ac:dyDescent="0.25">
      <c r="A602" t="s">
        <v>610</v>
      </c>
      <c r="B602" t="s">
        <v>6</v>
      </c>
      <c r="C602" t="s">
        <v>9</v>
      </c>
      <c r="D602">
        <v>9</v>
      </c>
      <c r="E602">
        <v>30000</v>
      </c>
      <c r="F602">
        <v>146.96225593211599</v>
      </c>
      <c r="G602">
        <v>17.903005138569</v>
      </c>
      <c r="H602">
        <v>2500</v>
      </c>
      <c r="I602">
        <v>356</v>
      </c>
      <c r="J602">
        <v>50</v>
      </c>
      <c r="K602" t="str">
        <f t="shared" si="27"/>
        <v>Chicago → Sydney</v>
      </c>
      <c r="L602" s="5">
        <f t="shared" si="28"/>
        <v>39.555555555555557</v>
      </c>
      <c r="M602" s="7">
        <f t="shared" si="29"/>
        <v>17800</v>
      </c>
      <c r="N602" s="7"/>
      <c r="O602" s="7"/>
    </row>
    <row r="603" spans="1:15" x14ac:dyDescent="0.25">
      <c r="A603" t="s">
        <v>611</v>
      </c>
      <c r="B603" t="s">
        <v>1</v>
      </c>
      <c r="C603" t="s">
        <v>13</v>
      </c>
      <c r="D603">
        <v>9</v>
      </c>
      <c r="E603">
        <v>30000</v>
      </c>
      <c r="F603">
        <v>93.137515619011495</v>
      </c>
      <c r="G603">
        <v>72.432589699921394</v>
      </c>
      <c r="H603">
        <v>2647</v>
      </c>
      <c r="I603">
        <v>354</v>
      </c>
      <c r="J603">
        <v>113</v>
      </c>
      <c r="K603" t="str">
        <f t="shared" si="27"/>
        <v>Houston → Paris</v>
      </c>
      <c r="L603" s="5">
        <f t="shared" si="28"/>
        <v>39.333333333333336</v>
      </c>
      <c r="M603" s="7">
        <f t="shared" si="29"/>
        <v>40002</v>
      </c>
      <c r="N603" s="7"/>
      <c r="O603" s="7"/>
    </row>
    <row r="604" spans="1:15" x14ac:dyDescent="0.25">
      <c r="A604" t="s">
        <v>612</v>
      </c>
      <c r="B604" t="s">
        <v>4</v>
      </c>
      <c r="C604" t="s">
        <v>13</v>
      </c>
      <c r="D604">
        <v>9</v>
      </c>
      <c r="E604">
        <v>30000</v>
      </c>
      <c r="F604">
        <v>34.975910156508697</v>
      </c>
      <c r="G604">
        <v>-21.021234129494701</v>
      </c>
      <c r="H604">
        <v>3000</v>
      </c>
      <c r="I604">
        <v>300</v>
      </c>
      <c r="J604">
        <v>50</v>
      </c>
      <c r="K604" t="str">
        <f t="shared" si="27"/>
        <v>Miami → Paris</v>
      </c>
      <c r="L604" s="5">
        <f t="shared" si="28"/>
        <v>33.333333333333336</v>
      </c>
      <c r="M604" s="7">
        <f t="shared" si="29"/>
        <v>15000</v>
      </c>
      <c r="N604" s="7"/>
      <c r="O604" s="7"/>
    </row>
    <row r="605" spans="1:15" x14ac:dyDescent="0.25">
      <c r="A605" t="s">
        <v>613</v>
      </c>
      <c r="B605" t="s">
        <v>1</v>
      </c>
      <c r="C605" t="s">
        <v>20</v>
      </c>
      <c r="D605">
        <v>8</v>
      </c>
      <c r="E605">
        <v>30000</v>
      </c>
      <c r="F605">
        <v>55.487785330034498</v>
      </c>
      <c r="G605">
        <v>-51.060100026451103</v>
      </c>
      <c r="H605">
        <v>2500</v>
      </c>
      <c r="I605">
        <v>402</v>
      </c>
      <c r="J605">
        <v>111</v>
      </c>
      <c r="K605" t="str">
        <f t="shared" si="27"/>
        <v>Houston → Dubai</v>
      </c>
      <c r="L605" s="5">
        <f t="shared" si="28"/>
        <v>50.25</v>
      </c>
      <c r="M605" s="7">
        <f t="shared" si="29"/>
        <v>44622</v>
      </c>
      <c r="N605" s="7"/>
      <c r="O605" s="7"/>
    </row>
    <row r="606" spans="1:15" x14ac:dyDescent="0.25">
      <c r="A606" t="s">
        <v>614</v>
      </c>
      <c r="B606" t="s">
        <v>6</v>
      </c>
      <c r="C606" t="s">
        <v>9</v>
      </c>
      <c r="D606">
        <v>9</v>
      </c>
      <c r="E606">
        <v>30000</v>
      </c>
      <c r="F606">
        <v>140.08605261840401</v>
      </c>
      <c r="G606">
        <v>-10.3360777320932</v>
      </c>
      <c r="H606">
        <v>2678</v>
      </c>
      <c r="I606">
        <v>356</v>
      </c>
      <c r="J606">
        <v>137</v>
      </c>
      <c r="K606" t="str">
        <f t="shared" si="27"/>
        <v>Chicago → Sydney</v>
      </c>
      <c r="L606" s="5">
        <f t="shared" si="28"/>
        <v>39.555555555555557</v>
      </c>
      <c r="M606" s="7">
        <f t="shared" si="29"/>
        <v>48772</v>
      </c>
      <c r="N606" s="7"/>
      <c r="O606" s="7"/>
    </row>
    <row r="607" spans="1:15" x14ac:dyDescent="0.25">
      <c r="A607" t="s">
        <v>615</v>
      </c>
      <c r="B607" t="s">
        <v>6</v>
      </c>
      <c r="C607" t="s">
        <v>15</v>
      </c>
      <c r="D607">
        <v>9</v>
      </c>
      <c r="E607">
        <v>30000</v>
      </c>
      <c r="F607">
        <v>28.3704316242986</v>
      </c>
      <c r="G607">
        <v>-81.294712011219403</v>
      </c>
      <c r="H607">
        <v>2000</v>
      </c>
      <c r="I607">
        <v>374</v>
      </c>
      <c r="J607">
        <v>200</v>
      </c>
      <c r="K607" t="str">
        <f t="shared" si="27"/>
        <v>Chicago → London</v>
      </c>
      <c r="L607" s="5">
        <f t="shared" si="28"/>
        <v>41.555555555555557</v>
      </c>
      <c r="M607" s="7">
        <f t="shared" si="29"/>
        <v>74800</v>
      </c>
      <c r="N607" s="7"/>
      <c r="O607" s="7"/>
    </row>
    <row r="608" spans="1:15" x14ac:dyDescent="0.25">
      <c r="A608" t="s">
        <v>616</v>
      </c>
      <c r="B608" t="s">
        <v>1</v>
      </c>
      <c r="C608" t="s">
        <v>15</v>
      </c>
      <c r="D608">
        <v>7</v>
      </c>
      <c r="E608">
        <v>30000</v>
      </c>
      <c r="F608">
        <v>47.660876758219501</v>
      </c>
      <c r="G608">
        <v>57.687765206449498</v>
      </c>
      <c r="H608">
        <v>3500</v>
      </c>
      <c r="I608">
        <v>374</v>
      </c>
      <c r="J608">
        <v>138</v>
      </c>
      <c r="K608" t="str">
        <f t="shared" si="27"/>
        <v>Houston → London</v>
      </c>
      <c r="L608" s="5">
        <f t="shared" si="28"/>
        <v>53.428571428571431</v>
      </c>
      <c r="M608" s="7">
        <f t="shared" si="29"/>
        <v>51612</v>
      </c>
      <c r="N608" s="7"/>
      <c r="O608" s="7"/>
    </row>
    <row r="609" spans="1:15" x14ac:dyDescent="0.25">
      <c r="A609" t="s">
        <v>617</v>
      </c>
      <c r="B609" t="s">
        <v>28</v>
      </c>
      <c r="C609" t="s">
        <v>2</v>
      </c>
      <c r="D609">
        <v>9</v>
      </c>
      <c r="E609">
        <v>30000</v>
      </c>
      <c r="F609">
        <v>-123.668382238704</v>
      </c>
      <c r="G609">
        <v>58.741345971033603</v>
      </c>
      <c r="H609">
        <v>2954</v>
      </c>
      <c r="I609">
        <v>397</v>
      </c>
      <c r="J609">
        <v>150</v>
      </c>
      <c r="K609" t="str">
        <f t="shared" si="27"/>
        <v>New York → Tokyo</v>
      </c>
      <c r="L609" s="5">
        <f t="shared" si="28"/>
        <v>44.111111111111114</v>
      </c>
      <c r="M609" s="7">
        <f t="shared" si="29"/>
        <v>59550</v>
      </c>
      <c r="N609" s="7"/>
      <c r="O609" s="7"/>
    </row>
    <row r="610" spans="1:15" x14ac:dyDescent="0.25">
      <c r="A610" t="s">
        <v>618</v>
      </c>
      <c r="B610" t="s">
        <v>11</v>
      </c>
      <c r="C610" t="s">
        <v>15</v>
      </c>
      <c r="D610">
        <v>15</v>
      </c>
      <c r="E610">
        <v>30000</v>
      </c>
      <c r="F610">
        <v>-9.3883607582030209</v>
      </c>
      <c r="G610">
        <v>15.8400834173331</v>
      </c>
      <c r="H610">
        <v>2000</v>
      </c>
      <c r="I610">
        <v>600</v>
      </c>
      <c r="J610">
        <v>50</v>
      </c>
      <c r="K610" t="str">
        <f t="shared" si="27"/>
        <v>Los Angeles → London</v>
      </c>
      <c r="L610" s="5">
        <f t="shared" si="28"/>
        <v>40</v>
      </c>
      <c r="M610" s="7">
        <f t="shared" si="29"/>
        <v>30000</v>
      </c>
      <c r="N610" s="7"/>
      <c r="O610" s="7"/>
    </row>
    <row r="611" spans="1:15" x14ac:dyDescent="0.25">
      <c r="A611" t="s">
        <v>619</v>
      </c>
      <c r="B611" t="s">
        <v>28</v>
      </c>
      <c r="C611" t="s">
        <v>20</v>
      </c>
      <c r="D611">
        <v>15</v>
      </c>
      <c r="E611">
        <v>30000</v>
      </c>
      <c r="F611">
        <v>77.902960304915595</v>
      </c>
      <c r="G611">
        <v>-26.441479991089899</v>
      </c>
      <c r="H611">
        <v>2588</v>
      </c>
      <c r="I611">
        <v>402</v>
      </c>
      <c r="J611">
        <v>50</v>
      </c>
      <c r="K611" t="str">
        <f t="shared" si="27"/>
        <v>New York → Dubai</v>
      </c>
      <c r="L611" s="5">
        <f t="shared" si="28"/>
        <v>26.8</v>
      </c>
      <c r="M611" s="7">
        <f t="shared" si="29"/>
        <v>20100</v>
      </c>
      <c r="N611" s="7"/>
      <c r="O611" s="7"/>
    </row>
    <row r="612" spans="1:15" x14ac:dyDescent="0.25">
      <c r="A612" t="s">
        <v>620</v>
      </c>
      <c r="B612" t="s">
        <v>28</v>
      </c>
      <c r="C612" t="s">
        <v>20</v>
      </c>
      <c r="D612">
        <v>15</v>
      </c>
      <c r="E612">
        <v>35000</v>
      </c>
      <c r="F612">
        <v>-82.4606286061085</v>
      </c>
      <c r="G612">
        <v>53.961005600241002</v>
      </c>
      <c r="H612">
        <v>2500</v>
      </c>
      <c r="I612">
        <v>600</v>
      </c>
      <c r="J612">
        <v>100</v>
      </c>
      <c r="K612" t="str">
        <f t="shared" si="27"/>
        <v>New York → Dubai</v>
      </c>
      <c r="L612" s="5">
        <f t="shared" si="28"/>
        <v>40</v>
      </c>
      <c r="M612" s="7">
        <f t="shared" si="29"/>
        <v>60000</v>
      </c>
      <c r="N612" s="7"/>
      <c r="O612" s="7"/>
    </row>
    <row r="613" spans="1:15" x14ac:dyDescent="0.25">
      <c r="A613" t="s">
        <v>621</v>
      </c>
      <c r="B613" t="s">
        <v>28</v>
      </c>
      <c r="C613" t="s">
        <v>15</v>
      </c>
      <c r="D613">
        <v>12</v>
      </c>
      <c r="E613">
        <v>30000</v>
      </c>
      <c r="F613">
        <v>-107.18849501116701</v>
      </c>
      <c r="G613">
        <v>9.8436644619060907</v>
      </c>
      <c r="H613">
        <v>3500</v>
      </c>
      <c r="I613">
        <v>300</v>
      </c>
      <c r="J613">
        <v>107</v>
      </c>
      <c r="K613" t="str">
        <f t="shared" si="27"/>
        <v>New York → London</v>
      </c>
      <c r="L613" s="5">
        <f t="shared" si="28"/>
        <v>25</v>
      </c>
      <c r="M613" s="7">
        <f t="shared" si="29"/>
        <v>32100</v>
      </c>
      <c r="N613" s="7"/>
      <c r="O613" s="7"/>
    </row>
    <row r="614" spans="1:15" x14ac:dyDescent="0.25">
      <c r="A614" t="s">
        <v>622</v>
      </c>
      <c r="B614" t="s">
        <v>4</v>
      </c>
      <c r="C614" t="s">
        <v>15</v>
      </c>
      <c r="D614">
        <v>5</v>
      </c>
      <c r="E614">
        <v>30000</v>
      </c>
      <c r="F614">
        <v>-67.022349039210397</v>
      </c>
      <c r="G614">
        <v>58.667815539002902</v>
      </c>
      <c r="H614">
        <v>2500</v>
      </c>
      <c r="I614">
        <v>150</v>
      </c>
      <c r="J614">
        <v>150</v>
      </c>
      <c r="K614" t="str">
        <f t="shared" si="27"/>
        <v>Miami → London</v>
      </c>
      <c r="L614" s="5">
        <f t="shared" si="28"/>
        <v>30</v>
      </c>
      <c r="M614" s="7">
        <f t="shared" si="29"/>
        <v>22500</v>
      </c>
      <c r="N614" s="7"/>
      <c r="O614" s="7"/>
    </row>
    <row r="615" spans="1:15" x14ac:dyDescent="0.25">
      <c r="A615" t="s">
        <v>623</v>
      </c>
      <c r="B615" t="s">
        <v>6</v>
      </c>
      <c r="C615" t="s">
        <v>2</v>
      </c>
      <c r="D615">
        <v>8</v>
      </c>
      <c r="E615">
        <v>30000</v>
      </c>
      <c r="F615">
        <v>-93.059773922580007</v>
      </c>
      <c r="G615">
        <v>23.662582664943699</v>
      </c>
      <c r="H615">
        <v>2583</v>
      </c>
      <c r="I615">
        <v>397</v>
      </c>
      <c r="J615">
        <v>133</v>
      </c>
      <c r="K615" t="str">
        <f t="shared" si="27"/>
        <v>Chicago → Tokyo</v>
      </c>
      <c r="L615" s="5">
        <f t="shared" si="28"/>
        <v>49.625</v>
      </c>
      <c r="M615" s="7">
        <f t="shared" si="29"/>
        <v>52801</v>
      </c>
      <c r="N615" s="7"/>
      <c r="O615" s="7"/>
    </row>
    <row r="616" spans="1:15" x14ac:dyDescent="0.25">
      <c r="A616" t="s">
        <v>624</v>
      </c>
      <c r="B616" t="s">
        <v>28</v>
      </c>
      <c r="C616" t="s">
        <v>15</v>
      </c>
      <c r="D616">
        <v>7</v>
      </c>
      <c r="E616">
        <v>32000</v>
      </c>
      <c r="F616">
        <v>-102.631450666898</v>
      </c>
      <c r="G616">
        <v>51.192985178303502</v>
      </c>
      <c r="H616">
        <v>3500</v>
      </c>
      <c r="I616">
        <v>150</v>
      </c>
      <c r="J616">
        <v>100</v>
      </c>
      <c r="K616" t="str">
        <f t="shared" si="27"/>
        <v>New York → London</v>
      </c>
      <c r="L616" s="5">
        <f t="shared" si="28"/>
        <v>21.428571428571427</v>
      </c>
      <c r="M616" s="7">
        <f t="shared" si="29"/>
        <v>15000</v>
      </c>
      <c r="N616" s="7"/>
      <c r="O616" s="7"/>
    </row>
    <row r="617" spans="1:15" x14ac:dyDescent="0.25">
      <c r="A617" t="s">
        <v>625</v>
      </c>
      <c r="B617" t="s">
        <v>6</v>
      </c>
      <c r="C617" t="s">
        <v>2</v>
      </c>
      <c r="D617">
        <v>15</v>
      </c>
      <c r="E617">
        <v>35000</v>
      </c>
      <c r="F617">
        <v>-27.0536965674887</v>
      </c>
      <c r="G617">
        <v>17.741338779196798</v>
      </c>
      <c r="H617">
        <v>2583</v>
      </c>
      <c r="I617">
        <v>300</v>
      </c>
      <c r="J617">
        <v>150</v>
      </c>
      <c r="K617" t="str">
        <f t="shared" si="27"/>
        <v>Chicago → Tokyo</v>
      </c>
      <c r="L617" s="5">
        <f t="shared" si="28"/>
        <v>20</v>
      </c>
      <c r="M617" s="7">
        <f t="shared" si="29"/>
        <v>45000</v>
      </c>
      <c r="N617" s="7"/>
      <c r="O617" s="7"/>
    </row>
    <row r="618" spans="1:15" x14ac:dyDescent="0.25">
      <c r="A618" t="s">
        <v>626</v>
      </c>
      <c r="B618" t="s">
        <v>1</v>
      </c>
      <c r="C618" t="s">
        <v>2</v>
      </c>
      <c r="D618">
        <v>12</v>
      </c>
      <c r="E618">
        <v>30000</v>
      </c>
      <c r="F618">
        <v>146.82186499807199</v>
      </c>
      <c r="G618">
        <v>-15.4546077211801</v>
      </c>
      <c r="H618">
        <v>2500</v>
      </c>
      <c r="I618">
        <v>150</v>
      </c>
      <c r="J618">
        <v>120</v>
      </c>
      <c r="K618" t="str">
        <f t="shared" si="27"/>
        <v>Houston → Tokyo</v>
      </c>
      <c r="L618" s="5">
        <f t="shared" si="28"/>
        <v>12.5</v>
      </c>
      <c r="M618" s="7">
        <f t="shared" si="29"/>
        <v>18000</v>
      </c>
      <c r="N618" s="7"/>
      <c r="O618" s="7"/>
    </row>
    <row r="619" spans="1:15" x14ac:dyDescent="0.25">
      <c r="A619" t="s">
        <v>627</v>
      </c>
      <c r="B619" t="s">
        <v>11</v>
      </c>
      <c r="C619" t="s">
        <v>15</v>
      </c>
      <c r="D619">
        <v>8</v>
      </c>
      <c r="E619">
        <v>30000</v>
      </c>
      <c r="F619">
        <v>2.5414728259385702</v>
      </c>
      <c r="G619">
        <v>82.430254786704793</v>
      </c>
      <c r="H619">
        <v>2760</v>
      </c>
      <c r="I619">
        <v>374</v>
      </c>
      <c r="J619">
        <v>131</v>
      </c>
      <c r="K619" t="str">
        <f t="shared" si="27"/>
        <v>Los Angeles → London</v>
      </c>
      <c r="L619" s="5">
        <f t="shared" si="28"/>
        <v>46.75</v>
      </c>
      <c r="M619" s="7">
        <f t="shared" si="29"/>
        <v>48994</v>
      </c>
      <c r="N619" s="7"/>
      <c r="O619" s="7"/>
    </row>
    <row r="620" spans="1:15" x14ac:dyDescent="0.25">
      <c r="A620" t="s">
        <v>628</v>
      </c>
      <c r="B620" t="s">
        <v>1</v>
      </c>
      <c r="C620" t="s">
        <v>13</v>
      </c>
      <c r="D620">
        <v>7</v>
      </c>
      <c r="E620">
        <v>30000</v>
      </c>
      <c r="F620">
        <v>-112.34866290648399</v>
      </c>
      <c r="G620">
        <v>7.4004884781920603</v>
      </c>
      <c r="H620">
        <v>2000</v>
      </c>
      <c r="I620">
        <v>450</v>
      </c>
      <c r="J620">
        <v>50</v>
      </c>
      <c r="K620" t="str">
        <f t="shared" si="27"/>
        <v>Houston → Paris</v>
      </c>
      <c r="L620" s="5">
        <f t="shared" si="28"/>
        <v>64.285714285714292</v>
      </c>
      <c r="M620" s="7">
        <f t="shared" si="29"/>
        <v>22500</v>
      </c>
      <c r="N620" s="7"/>
      <c r="O620" s="7"/>
    </row>
    <row r="621" spans="1:15" x14ac:dyDescent="0.25">
      <c r="A621" t="s">
        <v>629</v>
      </c>
      <c r="B621" t="s">
        <v>1</v>
      </c>
      <c r="C621" t="s">
        <v>13</v>
      </c>
      <c r="D621">
        <v>12</v>
      </c>
      <c r="E621">
        <v>32000</v>
      </c>
      <c r="F621">
        <v>-152.29019902288499</v>
      </c>
      <c r="G621">
        <v>18.916113337296899</v>
      </c>
      <c r="H621">
        <v>2500</v>
      </c>
      <c r="I621">
        <v>150</v>
      </c>
      <c r="J621">
        <v>50</v>
      </c>
      <c r="K621" t="str">
        <f t="shared" si="27"/>
        <v>Houston → Paris</v>
      </c>
      <c r="L621" s="5">
        <f t="shared" si="28"/>
        <v>12.5</v>
      </c>
      <c r="M621" s="7">
        <f t="shared" si="29"/>
        <v>7500</v>
      </c>
      <c r="N621" s="7"/>
      <c r="O621" s="7"/>
    </row>
    <row r="622" spans="1:15" x14ac:dyDescent="0.25">
      <c r="A622" t="s">
        <v>630</v>
      </c>
      <c r="B622" t="s">
        <v>4</v>
      </c>
      <c r="C622" t="s">
        <v>2</v>
      </c>
      <c r="D622">
        <v>9</v>
      </c>
      <c r="E622">
        <v>32000</v>
      </c>
      <c r="F622">
        <v>70.616212249653103</v>
      </c>
      <c r="G622">
        <v>-50.312224905345097</v>
      </c>
      <c r="H622">
        <v>2000</v>
      </c>
      <c r="I622">
        <v>150</v>
      </c>
      <c r="J622">
        <v>100</v>
      </c>
      <c r="K622" t="str">
        <f t="shared" si="27"/>
        <v>Miami → Tokyo</v>
      </c>
      <c r="L622" s="5">
        <f t="shared" si="28"/>
        <v>16.666666666666668</v>
      </c>
      <c r="M622" s="7">
        <f t="shared" si="29"/>
        <v>15000</v>
      </c>
      <c r="N622" s="7"/>
      <c r="O622" s="7"/>
    </row>
    <row r="623" spans="1:15" x14ac:dyDescent="0.25">
      <c r="A623" t="s">
        <v>631</v>
      </c>
      <c r="B623" t="s">
        <v>11</v>
      </c>
      <c r="C623" t="s">
        <v>15</v>
      </c>
      <c r="D623">
        <v>8</v>
      </c>
      <c r="E623">
        <v>30000</v>
      </c>
      <c r="F623">
        <v>-42.192444802900397</v>
      </c>
      <c r="G623">
        <v>22.617142096909799</v>
      </c>
      <c r="H623">
        <v>2760</v>
      </c>
      <c r="I623">
        <v>374</v>
      </c>
      <c r="J623">
        <v>131</v>
      </c>
      <c r="K623" t="str">
        <f t="shared" si="27"/>
        <v>Los Angeles → London</v>
      </c>
      <c r="L623" s="5">
        <f t="shared" si="28"/>
        <v>46.75</v>
      </c>
      <c r="M623" s="7">
        <f t="shared" si="29"/>
        <v>48994</v>
      </c>
      <c r="N623" s="7"/>
      <c r="O623" s="7"/>
    </row>
    <row r="624" spans="1:15" x14ac:dyDescent="0.25">
      <c r="A624" t="s">
        <v>632</v>
      </c>
      <c r="B624" t="s">
        <v>1</v>
      </c>
      <c r="C624" t="s">
        <v>13</v>
      </c>
      <c r="D624">
        <v>9</v>
      </c>
      <c r="E624">
        <v>30000</v>
      </c>
      <c r="F624">
        <v>115.859140770729</v>
      </c>
      <c r="G624">
        <v>12.8893769069299</v>
      </c>
      <c r="H624">
        <v>3000</v>
      </c>
      <c r="I624">
        <v>354</v>
      </c>
      <c r="J624">
        <v>113</v>
      </c>
      <c r="K624" t="str">
        <f t="shared" si="27"/>
        <v>Houston → Paris</v>
      </c>
      <c r="L624" s="5">
        <f t="shared" si="28"/>
        <v>39.333333333333336</v>
      </c>
      <c r="M624" s="7">
        <f t="shared" si="29"/>
        <v>40002</v>
      </c>
      <c r="N624" s="7"/>
      <c r="O624" s="7"/>
    </row>
    <row r="625" spans="1:15" x14ac:dyDescent="0.25">
      <c r="A625" t="s">
        <v>633</v>
      </c>
      <c r="B625" t="s">
        <v>1</v>
      </c>
      <c r="C625" t="s">
        <v>15</v>
      </c>
      <c r="D625">
        <v>5</v>
      </c>
      <c r="E625">
        <v>30000</v>
      </c>
      <c r="F625">
        <v>57.423876710677298</v>
      </c>
      <c r="G625">
        <v>-56.729088369535503</v>
      </c>
      <c r="H625">
        <v>3000</v>
      </c>
      <c r="I625">
        <v>374</v>
      </c>
      <c r="J625">
        <v>150</v>
      </c>
      <c r="K625" t="str">
        <f t="shared" si="27"/>
        <v>Houston → London</v>
      </c>
      <c r="L625" s="5">
        <f t="shared" si="28"/>
        <v>74.8</v>
      </c>
      <c r="M625" s="7">
        <f t="shared" si="29"/>
        <v>56100</v>
      </c>
      <c r="N625" s="7"/>
      <c r="O625" s="7"/>
    </row>
    <row r="626" spans="1:15" x14ac:dyDescent="0.25">
      <c r="A626" t="s">
        <v>634</v>
      </c>
      <c r="B626" t="s">
        <v>11</v>
      </c>
      <c r="C626" t="s">
        <v>15</v>
      </c>
      <c r="D626">
        <v>5</v>
      </c>
      <c r="E626">
        <v>32000</v>
      </c>
      <c r="F626">
        <v>106.64692219489299</v>
      </c>
      <c r="G626">
        <v>-79.274322476434094</v>
      </c>
      <c r="H626">
        <v>2500</v>
      </c>
      <c r="I626">
        <v>450</v>
      </c>
      <c r="J626">
        <v>100</v>
      </c>
      <c r="K626" t="str">
        <f t="shared" si="27"/>
        <v>Los Angeles → London</v>
      </c>
      <c r="L626" s="5">
        <f t="shared" si="28"/>
        <v>90</v>
      </c>
      <c r="M626" s="7">
        <f t="shared" si="29"/>
        <v>45000</v>
      </c>
      <c r="N626" s="7"/>
      <c r="O626" s="7"/>
    </row>
    <row r="627" spans="1:15" x14ac:dyDescent="0.25">
      <c r="A627" t="s">
        <v>635</v>
      </c>
      <c r="B627" t="s">
        <v>11</v>
      </c>
      <c r="C627" t="s">
        <v>15</v>
      </c>
      <c r="D627">
        <v>12</v>
      </c>
      <c r="E627">
        <v>35000</v>
      </c>
      <c r="F627">
        <v>-82.099425809358493</v>
      </c>
      <c r="G627">
        <v>18.784677548658799</v>
      </c>
      <c r="H627">
        <v>2500</v>
      </c>
      <c r="I627">
        <v>600</v>
      </c>
      <c r="J627">
        <v>131</v>
      </c>
      <c r="K627" t="str">
        <f t="shared" si="27"/>
        <v>Los Angeles → London</v>
      </c>
      <c r="L627" s="5">
        <f t="shared" si="28"/>
        <v>50</v>
      </c>
      <c r="M627" s="7">
        <f t="shared" si="29"/>
        <v>78600</v>
      </c>
      <c r="N627" s="7"/>
      <c r="O627" s="7"/>
    </row>
    <row r="628" spans="1:15" x14ac:dyDescent="0.25">
      <c r="A628" t="s">
        <v>636</v>
      </c>
      <c r="B628" t="s">
        <v>1</v>
      </c>
      <c r="C628" t="s">
        <v>9</v>
      </c>
      <c r="D628">
        <v>9</v>
      </c>
      <c r="E628">
        <v>30000</v>
      </c>
      <c r="F628">
        <v>69.249212085980901</v>
      </c>
      <c r="G628">
        <v>47.464608483057702</v>
      </c>
      <c r="H628">
        <v>2500</v>
      </c>
      <c r="I628">
        <v>356</v>
      </c>
      <c r="J628">
        <v>127</v>
      </c>
      <c r="K628" t="str">
        <f t="shared" si="27"/>
        <v>Houston → Sydney</v>
      </c>
      <c r="L628" s="5">
        <f t="shared" si="28"/>
        <v>39.555555555555557</v>
      </c>
      <c r="M628" s="7">
        <f t="shared" si="29"/>
        <v>45212</v>
      </c>
      <c r="N628" s="7"/>
      <c r="O628" s="7"/>
    </row>
    <row r="629" spans="1:15" x14ac:dyDescent="0.25">
      <c r="A629" t="s">
        <v>637</v>
      </c>
      <c r="B629" t="s">
        <v>11</v>
      </c>
      <c r="C629" t="s">
        <v>15</v>
      </c>
      <c r="D629">
        <v>5</v>
      </c>
      <c r="E629">
        <v>35000</v>
      </c>
      <c r="F629">
        <v>-84.937685510261204</v>
      </c>
      <c r="G629">
        <v>4.2122467659614804</v>
      </c>
      <c r="H629">
        <v>3500</v>
      </c>
      <c r="I629">
        <v>150</v>
      </c>
      <c r="J629">
        <v>150</v>
      </c>
      <c r="K629" t="str">
        <f t="shared" si="27"/>
        <v>Los Angeles → London</v>
      </c>
      <c r="L629" s="5">
        <f t="shared" si="28"/>
        <v>30</v>
      </c>
      <c r="M629" s="7">
        <f t="shared" si="29"/>
        <v>22500</v>
      </c>
      <c r="N629" s="7"/>
      <c r="O629" s="7"/>
    </row>
    <row r="630" spans="1:15" x14ac:dyDescent="0.25">
      <c r="A630" t="s">
        <v>638</v>
      </c>
      <c r="B630" t="s">
        <v>1</v>
      </c>
      <c r="C630" t="s">
        <v>9</v>
      </c>
      <c r="D630">
        <v>9</v>
      </c>
      <c r="E630">
        <v>30000</v>
      </c>
      <c r="F630">
        <v>158.06465260210501</v>
      </c>
      <c r="G630">
        <v>-49.180927442463798</v>
      </c>
      <c r="H630">
        <v>2500</v>
      </c>
      <c r="I630">
        <v>356</v>
      </c>
      <c r="J630">
        <v>127</v>
      </c>
      <c r="K630" t="str">
        <f t="shared" si="27"/>
        <v>Houston → Sydney</v>
      </c>
      <c r="L630" s="5">
        <f t="shared" si="28"/>
        <v>39.555555555555557</v>
      </c>
      <c r="M630" s="7">
        <f t="shared" si="29"/>
        <v>45212</v>
      </c>
      <c r="N630" s="7"/>
      <c r="O630" s="7"/>
    </row>
    <row r="631" spans="1:15" x14ac:dyDescent="0.25">
      <c r="A631" t="s">
        <v>639</v>
      </c>
      <c r="B631" t="s">
        <v>1</v>
      </c>
      <c r="C631" t="s">
        <v>2</v>
      </c>
      <c r="D631">
        <v>10</v>
      </c>
      <c r="E631">
        <v>30000</v>
      </c>
      <c r="F631">
        <v>49.0947413520148</v>
      </c>
      <c r="G631">
        <v>29.9739558047463</v>
      </c>
      <c r="H631">
        <v>2550</v>
      </c>
      <c r="I631">
        <v>397</v>
      </c>
      <c r="J631">
        <v>120</v>
      </c>
      <c r="K631" t="str">
        <f t="shared" si="27"/>
        <v>Houston → Tokyo</v>
      </c>
      <c r="L631" s="5">
        <f t="shared" si="28"/>
        <v>39.700000000000003</v>
      </c>
      <c r="M631" s="7">
        <f t="shared" si="29"/>
        <v>47640</v>
      </c>
      <c r="N631" s="7"/>
      <c r="O631" s="7"/>
    </row>
    <row r="632" spans="1:15" x14ac:dyDescent="0.25">
      <c r="A632" t="s">
        <v>640</v>
      </c>
      <c r="B632" t="s">
        <v>4</v>
      </c>
      <c r="C632" t="s">
        <v>13</v>
      </c>
      <c r="D632">
        <v>12</v>
      </c>
      <c r="E632">
        <v>35000</v>
      </c>
      <c r="F632">
        <v>-63.1757519368769</v>
      </c>
      <c r="G632">
        <v>-75.580969210271604</v>
      </c>
      <c r="H632">
        <v>2000</v>
      </c>
      <c r="I632">
        <v>600</v>
      </c>
      <c r="J632">
        <v>100</v>
      </c>
      <c r="K632" t="str">
        <f t="shared" si="27"/>
        <v>Miami → Paris</v>
      </c>
      <c r="L632" s="5">
        <f t="shared" si="28"/>
        <v>50</v>
      </c>
      <c r="M632" s="7">
        <f t="shared" si="29"/>
        <v>60000</v>
      </c>
      <c r="N632" s="7"/>
      <c r="O632" s="7"/>
    </row>
    <row r="633" spans="1:15" x14ac:dyDescent="0.25">
      <c r="A633" t="s">
        <v>641</v>
      </c>
      <c r="B633" t="s">
        <v>28</v>
      </c>
      <c r="C633" t="s">
        <v>13</v>
      </c>
      <c r="D633">
        <v>9</v>
      </c>
      <c r="E633">
        <v>30000</v>
      </c>
      <c r="F633">
        <v>-82.975729574781894</v>
      </c>
      <c r="G633">
        <v>-10.469933135648199</v>
      </c>
      <c r="H633">
        <v>2847</v>
      </c>
      <c r="I633">
        <v>354</v>
      </c>
      <c r="J633">
        <v>122</v>
      </c>
      <c r="K633" t="str">
        <f t="shared" si="27"/>
        <v>New York → Paris</v>
      </c>
      <c r="L633" s="5">
        <f t="shared" si="28"/>
        <v>39.333333333333336</v>
      </c>
      <c r="M633" s="7">
        <f t="shared" si="29"/>
        <v>43188</v>
      </c>
      <c r="N633" s="7"/>
      <c r="O633" s="7"/>
    </row>
    <row r="634" spans="1:15" x14ac:dyDescent="0.25">
      <c r="A634" t="s">
        <v>642</v>
      </c>
      <c r="B634" t="s">
        <v>1</v>
      </c>
      <c r="C634" t="s">
        <v>13</v>
      </c>
      <c r="D634">
        <v>12</v>
      </c>
      <c r="E634">
        <v>30000</v>
      </c>
      <c r="F634">
        <v>-111.266429374208</v>
      </c>
      <c r="G634">
        <v>-60.593983488284401</v>
      </c>
      <c r="H634">
        <v>2500</v>
      </c>
      <c r="I634">
        <v>300</v>
      </c>
      <c r="J634">
        <v>50</v>
      </c>
      <c r="K634" t="str">
        <f t="shared" si="27"/>
        <v>Houston → Paris</v>
      </c>
      <c r="L634" s="5">
        <f t="shared" si="28"/>
        <v>25</v>
      </c>
      <c r="M634" s="7">
        <f t="shared" si="29"/>
        <v>15000</v>
      </c>
      <c r="N634" s="7"/>
      <c r="O634" s="7"/>
    </row>
    <row r="635" spans="1:15" x14ac:dyDescent="0.25">
      <c r="A635" t="s">
        <v>643</v>
      </c>
      <c r="B635" t="s">
        <v>6</v>
      </c>
      <c r="C635" t="s">
        <v>13</v>
      </c>
      <c r="D635">
        <v>5</v>
      </c>
      <c r="E635">
        <v>30000</v>
      </c>
      <c r="F635">
        <v>70.070745201742</v>
      </c>
      <c r="G635">
        <v>-56.797370809221</v>
      </c>
      <c r="H635">
        <v>2000</v>
      </c>
      <c r="I635">
        <v>354</v>
      </c>
      <c r="J635">
        <v>200</v>
      </c>
      <c r="K635" t="str">
        <f t="shared" si="27"/>
        <v>Chicago → Paris</v>
      </c>
      <c r="L635" s="5">
        <f t="shared" si="28"/>
        <v>70.8</v>
      </c>
      <c r="M635" s="7">
        <f t="shared" si="29"/>
        <v>70800</v>
      </c>
      <c r="N635" s="7"/>
      <c r="O635" s="7"/>
    </row>
    <row r="636" spans="1:15" x14ac:dyDescent="0.25">
      <c r="A636" t="s">
        <v>644</v>
      </c>
      <c r="B636" t="s">
        <v>28</v>
      </c>
      <c r="C636" t="s">
        <v>13</v>
      </c>
      <c r="D636">
        <v>12</v>
      </c>
      <c r="E636">
        <v>30000</v>
      </c>
      <c r="F636">
        <v>-101.26237932074601</v>
      </c>
      <c r="G636">
        <v>-53.587089151523301</v>
      </c>
      <c r="H636">
        <v>3000</v>
      </c>
      <c r="I636">
        <v>150</v>
      </c>
      <c r="J636">
        <v>200</v>
      </c>
      <c r="K636" t="str">
        <f t="shared" si="27"/>
        <v>New York → Paris</v>
      </c>
      <c r="L636" s="5">
        <f t="shared" si="28"/>
        <v>12.5</v>
      </c>
      <c r="M636" s="7">
        <f t="shared" si="29"/>
        <v>30000</v>
      </c>
      <c r="N636" s="7"/>
      <c r="O636" s="7"/>
    </row>
    <row r="637" spans="1:15" x14ac:dyDescent="0.25">
      <c r="A637" t="s">
        <v>645</v>
      </c>
      <c r="B637" t="s">
        <v>28</v>
      </c>
      <c r="C637" t="s">
        <v>13</v>
      </c>
      <c r="D637">
        <v>9</v>
      </c>
      <c r="E637">
        <v>30000</v>
      </c>
      <c r="F637">
        <v>34.309175733896097</v>
      </c>
      <c r="G637">
        <v>-20.392729732084</v>
      </c>
      <c r="H637">
        <v>2847</v>
      </c>
      <c r="I637">
        <v>354</v>
      </c>
      <c r="J637">
        <v>122</v>
      </c>
      <c r="K637" t="str">
        <f t="shared" si="27"/>
        <v>New York → Paris</v>
      </c>
      <c r="L637" s="5">
        <f t="shared" si="28"/>
        <v>39.333333333333336</v>
      </c>
      <c r="M637" s="7">
        <f t="shared" si="29"/>
        <v>43188</v>
      </c>
      <c r="N637" s="7"/>
      <c r="O637" s="7"/>
    </row>
    <row r="638" spans="1:15" x14ac:dyDescent="0.25">
      <c r="A638" t="s">
        <v>646</v>
      </c>
      <c r="B638" t="s">
        <v>28</v>
      </c>
      <c r="C638" t="s">
        <v>13</v>
      </c>
      <c r="D638">
        <v>9</v>
      </c>
      <c r="E638">
        <v>30000</v>
      </c>
      <c r="F638">
        <v>-84.731390306871404</v>
      </c>
      <c r="G638">
        <v>-80.792962988328398</v>
      </c>
      <c r="H638">
        <v>2847</v>
      </c>
      <c r="I638">
        <v>354</v>
      </c>
      <c r="J638">
        <v>122</v>
      </c>
      <c r="K638" t="str">
        <f t="shared" si="27"/>
        <v>New York → Paris</v>
      </c>
      <c r="L638" s="5">
        <f t="shared" si="28"/>
        <v>39.333333333333336</v>
      </c>
      <c r="M638" s="7">
        <f t="shared" si="29"/>
        <v>43188</v>
      </c>
      <c r="N638" s="7"/>
      <c r="O638" s="7"/>
    </row>
    <row r="639" spans="1:15" x14ac:dyDescent="0.25">
      <c r="A639" t="s">
        <v>647</v>
      </c>
      <c r="B639" t="s">
        <v>4</v>
      </c>
      <c r="C639" t="s">
        <v>2</v>
      </c>
      <c r="D639">
        <v>15</v>
      </c>
      <c r="E639">
        <v>30000</v>
      </c>
      <c r="F639">
        <v>58.3088201257927</v>
      </c>
      <c r="G639">
        <v>-18.3971806327623</v>
      </c>
      <c r="H639">
        <v>2000</v>
      </c>
      <c r="I639">
        <v>397</v>
      </c>
      <c r="J639">
        <v>150</v>
      </c>
      <c r="K639" t="str">
        <f t="shared" si="27"/>
        <v>Miami → Tokyo</v>
      </c>
      <c r="L639" s="5">
        <f t="shared" si="28"/>
        <v>26.466666666666665</v>
      </c>
      <c r="M639" s="7">
        <f t="shared" si="29"/>
        <v>59550</v>
      </c>
      <c r="N639" s="7"/>
      <c r="O639" s="7"/>
    </row>
    <row r="640" spans="1:15" x14ac:dyDescent="0.25">
      <c r="A640" t="s">
        <v>648</v>
      </c>
      <c r="B640" t="s">
        <v>1</v>
      </c>
      <c r="C640" t="s">
        <v>15</v>
      </c>
      <c r="D640">
        <v>8</v>
      </c>
      <c r="E640">
        <v>30000</v>
      </c>
      <c r="F640">
        <v>113.37830227459401</v>
      </c>
      <c r="G640">
        <v>2.10734048064616</v>
      </c>
      <c r="H640">
        <v>3500</v>
      </c>
      <c r="I640">
        <v>600</v>
      </c>
      <c r="J640">
        <v>50</v>
      </c>
      <c r="K640" t="str">
        <f t="shared" si="27"/>
        <v>Houston → London</v>
      </c>
      <c r="L640" s="5">
        <f t="shared" si="28"/>
        <v>75</v>
      </c>
      <c r="M640" s="7">
        <f t="shared" si="29"/>
        <v>30000</v>
      </c>
      <c r="N640" s="7"/>
      <c r="O640" s="7"/>
    </row>
    <row r="641" spans="1:15" x14ac:dyDescent="0.25">
      <c r="A641" t="s">
        <v>649</v>
      </c>
      <c r="B641" t="s">
        <v>4</v>
      </c>
      <c r="C641" t="s">
        <v>20</v>
      </c>
      <c r="D641">
        <v>12</v>
      </c>
      <c r="E641">
        <v>35000</v>
      </c>
      <c r="F641">
        <v>100.089087532075</v>
      </c>
      <c r="G641">
        <v>-3.00702870606146</v>
      </c>
      <c r="H641">
        <v>2500</v>
      </c>
      <c r="I641">
        <v>402</v>
      </c>
      <c r="J641">
        <v>200</v>
      </c>
      <c r="K641" t="str">
        <f t="shared" si="27"/>
        <v>Miami → Dubai</v>
      </c>
      <c r="L641" s="5">
        <f t="shared" si="28"/>
        <v>33.5</v>
      </c>
      <c r="M641" s="7">
        <f t="shared" si="29"/>
        <v>80400</v>
      </c>
      <c r="N641" s="7"/>
      <c r="O641" s="7"/>
    </row>
    <row r="642" spans="1:15" x14ac:dyDescent="0.25">
      <c r="A642" t="s">
        <v>650</v>
      </c>
      <c r="B642" t="s">
        <v>1</v>
      </c>
      <c r="C642" t="s">
        <v>9</v>
      </c>
      <c r="D642">
        <v>7</v>
      </c>
      <c r="E642">
        <v>35000</v>
      </c>
      <c r="F642">
        <v>93.906479135081398</v>
      </c>
      <c r="G642">
        <v>-21.098861927452699</v>
      </c>
      <c r="H642">
        <v>2000</v>
      </c>
      <c r="I642">
        <v>150</v>
      </c>
      <c r="J642">
        <v>100</v>
      </c>
      <c r="K642" t="str">
        <f t="shared" si="27"/>
        <v>Houston → Sydney</v>
      </c>
      <c r="L642" s="5">
        <f t="shared" si="28"/>
        <v>21.428571428571427</v>
      </c>
      <c r="M642" s="7">
        <f t="shared" si="29"/>
        <v>15000</v>
      </c>
      <c r="N642" s="7"/>
      <c r="O642" s="7"/>
    </row>
    <row r="643" spans="1:15" x14ac:dyDescent="0.25">
      <c r="A643" t="s">
        <v>651</v>
      </c>
      <c r="B643" t="s">
        <v>4</v>
      </c>
      <c r="C643" t="s">
        <v>20</v>
      </c>
      <c r="D643">
        <v>9</v>
      </c>
      <c r="E643">
        <v>32000</v>
      </c>
      <c r="F643">
        <v>-112.419933950789</v>
      </c>
      <c r="G643">
        <v>61.046389452735397</v>
      </c>
      <c r="H643">
        <v>2700</v>
      </c>
      <c r="I643">
        <v>300</v>
      </c>
      <c r="J643">
        <v>100</v>
      </c>
      <c r="K643" t="str">
        <f t="shared" ref="K643:K706" si="30">B643 &amp; " → " &amp; C643</f>
        <v>Miami → Dubai</v>
      </c>
      <c r="L643" s="5">
        <f t="shared" ref="L643:L706" si="31">I643/D643</f>
        <v>33.333333333333336</v>
      </c>
      <c r="M643" s="7">
        <f t="shared" ref="M643:M706" si="32">I643*J643</f>
        <v>30000</v>
      </c>
      <c r="N643" s="7"/>
      <c r="O643" s="7"/>
    </row>
    <row r="644" spans="1:15" x14ac:dyDescent="0.25">
      <c r="A644" t="s">
        <v>652</v>
      </c>
      <c r="B644" t="s">
        <v>4</v>
      </c>
      <c r="C644" t="s">
        <v>20</v>
      </c>
      <c r="D644">
        <v>9</v>
      </c>
      <c r="E644">
        <v>30000</v>
      </c>
      <c r="F644">
        <v>-148.181419085573</v>
      </c>
      <c r="G644">
        <v>-63.8411953643093</v>
      </c>
      <c r="H644">
        <v>3000</v>
      </c>
      <c r="I644">
        <v>600</v>
      </c>
      <c r="J644">
        <v>150</v>
      </c>
      <c r="K644" t="str">
        <f t="shared" si="30"/>
        <v>Miami → Dubai</v>
      </c>
      <c r="L644" s="5">
        <f t="shared" si="31"/>
        <v>66.666666666666671</v>
      </c>
      <c r="M644" s="7">
        <f t="shared" si="32"/>
        <v>90000</v>
      </c>
      <c r="N644" s="7"/>
      <c r="O644" s="7"/>
    </row>
    <row r="645" spans="1:15" x14ac:dyDescent="0.25">
      <c r="A645" t="s">
        <v>653</v>
      </c>
      <c r="B645" t="s">
        <v>6</v>
      </c>
      <c r="C645" t="s">
        <v>15</v>
      </c>
      <c r="D645">
        <v>9</v>
      </c>
      <c r="E645">
        <v>30000</v>
      </c>
      <c r="F645">
        <v>71.6215782554588</v>
      </c>
      <c r="G645">
        <v>1.0254138806473201</v>
      </c>
      <c r="H645">
        <v>2678</v>
      </c>
      <c r="I645">
        <v>374</v>
      </c>
      <c r="J645">
        <v>116</v>
      </c>
      <c r="K645" t="str">
        <f t="shared" si="30"/>
        <v>Chicago → London</v>
      </c>
      <c r="L645" s="5">
        <f t="shared" si="31"/>
        <v>41.555555555555557</v>
      </c>
      <c r="M645" s="7">
        <f t="shared" si="32"/>
        <v>43384</v>
      </c>
      <c r="N645" s="7"/>
      <c r="O645" s="7"/>
    </row>
    <row r="646" spans="1:15" x14ac:dyDescent="0.25">
      <c r="A646" t="s">
        <v>654</v>
      </c>
      <c r="B646" t="s">
        <v>4</v>
      </c>
      <c r="C646" t="s">
        <v>15</v>
      </c>
      <c r="D646">
        <v>8</v>
      </c>
      <c r="E646">
        <v>30000</v>
      </c>
      <c r="F646">
        <v>-47.3950030340335</v>
      </c>
      <c r="G646">
        <v>-78.832544947820196</v>
      </c>
      <c r="H646">
        <v>2615</v>
      </c>
      <c r="I646">
        <v>374</v>
      </c>
      <c r="J646">
        <v>121</v>
      </c>
      <c r="K646" t="str">
        <f t="shared" si="30"/>
        <v>Miami → London</v>
      </c>
      <c r="L646" s="5">
        <f t="shared" si="31"/>
        <v>46.75</v>
      </c>
      <c r="M646" s="7">
        <f t="shared" si="32"/>
        <v>45254</v>
      </c>
      <c r="N646" s="7"/>
      <c r="O646" s="7"/>
    </row>
    <row r="647" spans="1:15" x14ac:dyDescent="0.25">
      <c r="A647" t="s">
        <v>655</v>
      </c>
      <c r="B647" t="s">
        <v>11</v>
      </c>
      <c r="C647" t="s">
        <v>15</v>
      </c>
      <c r="D647">
        <v>12</v>
      </c>
      <c r="E647">
        <v>30000</v>
      </c>
      <c r="F647">
        <v>-24.355358494794999</v>
      </c>
      <c r="G647">
        <v>-77.191977801976293</v>
      </c>
      <c r="H647">
        <v>3500</v>
      </c>
      <c r="I647">
        <v>600</v>
      </c>
      <c r="J647">
        <v>100</v>
      </c>
      <c r="K647" t="str">
        <f t="shared" si="30"/>
        <v>Los Angeles → London</v>
      </c>
      <c r="L647" s="5">
        <f t="shared" si="31"/>
        <v>50</v>
      </c>
      <c r="M647" s="7">
        <f t="shared" si="32"/>
        <v>60000</v>
      </c>
      <c r="N647" s="7"/>
      <c r="O647" s="7"/>
    </row>
    <row r="648" spans="1:15" x14ac:dyDescent="0.25">
      <c r="A648" t="s">
        <v>656</v>
      </c>
      <c r="B648" t="s">
        <v>6</v>
      </c>
      <c r="C648" t="s">
        <v>13</v>
      </c>
      <c r="D648">
        <v>10</v>
      </c>
      <c r="E648">
        <v>35000</v>
      </c>
      <c r="F648">
        <v>-168.78632659437901</v>
      </c>
      <c r="G648">
        <v>13.2958529418773</v>
      </c>
      <c r="H648">
        <v>3000</v>
      </c>
      <c r="I648">
        <v>600</v>
      </c>
      <c r="J648">
        <v>100</v>
      </c>
      <c r="K648" t="str">
        <f t="shared" si="30"/>
        <v>Chicago → Paris</v>
      </c>
      <c r="L648" s="5">
        <f t="shared" si="31"/>
        <v>60</v>
      </c>
      <c r="M648" s="7">
        <f t="shared" si="32"/>
        <v>60000</v>
      </c>
      <c r="N648" s="7"/>
      <c r="O648" s="7"/>
    </row>
    <row r="649" spans="1:15" x14ac:dyDescent="0.25">
      <c r="A649" t="s">
        <v>657</v>
      </c>
      <c r="B649" t="s">
        <v>4</v>
      </c>
      <c r="C649" t="s">
        <v>2</v>
      </c>
      <c r="D649">
        <v>7</v>
      </c>
      <c r="E649">
        <v>32000</v>
      </c>
      <c r="F649">
        <v>-86.552478260982298</v>
      </c>
      <c r="G649">
        <v>11.883316479807799</v>
      </c>
      <c r="H649">
        <v>2000</v>
      </c>
      <c r="I649">
        <v>397</v>
      </c>
      <c r="J649">
        <v>100</v>
      </c>
      <c r="K649" t="str">
        <f t="shared" si="30"/>
        <v>Miami → Tokyo</v>
      </c>
      <c r="L649" s="5">
        <f t="shared" si="31"/>
        <v>56.714285714285715</v>
      </c>
      <c r="M649" s="7">
        <f t="shared" si="32"/>
        <v>39700</v>
      </c>
      <c r="N649" s="7"/>
      <c r="O649" s="7"/>
    </row>
    <row r="650" spans="1:15" x14ac:dyDescent="0.25">
      <c r="A650" t="s">
        <v>658</v>
      </c>
      <c r="B650" t="s">
        <v>28</v>
      </c>
      <c r="C650" t="s">
        <v>13</v>
      </c>
      <c r="D650">
        <v>9</v>
      </c>
      <c r="E650">
        <v>32000</v>
      </c>
      <c r="F650">
        <v>-167.87649460519299</v>
      </c>
      <c r="G650">
        <v>68.046032312002197</v>
      </c>
      <c r="H650">
        <v>2500</v>
      </c>
      <c r="I650">
        <v>354</v>
      </c>
      <c r="J650">
        <v>200</v>
      </c>
      <c r="K650" t="str">
        <f t="shared" si="30"/>
        <v>New York → Paris</v>
      </c>
      <c r="L650" s="5">
        <f t="shared" si="31"/>
        <v>39.333333333333336</v>
      </c>
      <c r="M650" s="7">
        <f t="shared" si="32"/>
        <v>70800</v>
      </c>
      <c r="N650" s="7"/>
      <c r="O650" s="7"/>
    </row>
    <row r="651" spans="1:15" x14ac:dyDescent="0.25">
      <c r="A651" t="s">
        <v>659</v>
      </c>
      <c r="B651" t="s">
        <v>11</v>
      </c>
      <c r="C651" t="s">
        <v>2</v>
      </c>
      <c r="D651">
        <v>10</v>
      </c>
      <c r="E651">
        <v>30000</v>
      </c>
      <c r="F651">
        <v>136.50687813644899</v>
      </c>
      <c r="G651">
        <v>10.4172616188132</v>
      </c>
      <c r="H651">
        <v>2586</v>
      </c>
      <c r="I651">
        <v>397</v>
      </c>
      <c r="J651">
        <v>119</v>
      </c>
      <c r="K651" t="str">
        <f t="shared" si="30"/>
        <v>Los Angeles → Tokyo</v>
      </c>
      <c r="L651" s="5">
        <f t="shared" si="31"/>
        <v>39.700000000000003</v>
      </c>
      <c r="M651" s="7">
        <f t="shared" si="32"/>
        <v>47243</v>
      </c>
      <c r="N651" s="7"/>
      <c r="O651" s="7"/>
    </row>
    <row r="652" spans="1:15" x14ac:dyDescent="0.25">
      <c r="A652" t="s">
        <v>660</v>
      </c>
      <c r="B652" t="s">
        <v>11</v>
      </c>
      <c r="C652" t="s">
        <v>2</v>
      </c>
      <c r="D652">
        <v>10</v>
      </c>
      <c r="E652">
        <v>30000</v>
      </c>
      <c r="F652">
        <v>-92.377194041329005</v>
      </c>
      <c r="G652">
        <v>82.762383672873</v>
      </c>
      <c r="H652">
        <v>2586</v>
      </c>
      <c r="I652">
        <v>397</v>
      </c>
      <c r="J652">
        <v>119</v>
      </c>
      <c r="K652" t="str">
        <f t="shared" si="30"/>
        <v>Los Angeles → Tokyo</v>
      </c>
      <c r="L652" s="5">
        <f t="shared" si="31"/>
        <v>39.700000000000003</v>
      </c>
      <c r="M652" s="7">
        <f t="shared" si="32"/>
        <v>47243</v>
      </c>
      <c r="N652" s="7"/>
      <c r="O652" s="7"/>
    </row>
    <row r="653" spans="1:15" x14ac:dyDescent="0.25">
      <c r="A653" t="s">
        <v>661</v>
      </c>
      <c r="B653" t="s">
        <v>11</v>
      </c>
      <c r="C653" t="s">
        <v>20</v>
      </c>
      <c r="D653">
        <v>15</v>
      </c>
      <c r="E653">
        <v>32000</v>
      </c>
      <c r="F653">
        <v>20.641381046282898</v>
      </c>
      <c r="G653">
        <v>-81.234927288012599</v>
      </c>
      <c r="H653">
        <v>3500</v>
      </c>
      <c r="I653">
        <v>600</v>
      </c>
      <c r="J653">
        <v>100</v>
      </c>
      <c r="K653" t="str">
        <f t="shared" si="30"/>
        <v>Los Angeles → Dubai</v>
      </c>
      <c r="L653" s="5">
        <f t="shared" si="31"/>
        <v>40</v>
      </c>
      <c r="M653" s="7">
        <f t="shared" si="32"/>
        <v>60000</v>
      </c>
      <c r="N653" s="7"/>
      <c r="O653" s="7"/>
    </row>
    <row r="654" spans="1:15" x14ac:dyDescent="0.25">
      <c r="A654" t="s">
        <v>662</v>
      </c>
      <c r="B654" t="s">
        <v>6</v>
      </c>
      <c r="C654" t="s">
        <v>20</v>
      </c>
      <c r="D654">
        <v>10</v>
      </c>
      <c r="E654">
        <v>30000</v>
      </c>
      <c r="F654">
        <v>-165.96744456199301</v>
      </c>
      <c r="G654">
        <v>-72.358616739466598</v>
      </c>
      <c r="H654">
        <v>2636</v>
      </c>
      <c r="I654">
        <v>402</v>
      </c>
      <c r="J654">
        <v>114</v>
      </c>
      <c r="K654" t="str">
        <f t="shared" si="30"/>
        <v>Chicago → Dubai</v>
      </c>
      <c r="L654" s="5">
        <f t="shared" si="31"/>
        <v>40.200000000000003</v>
      </c>
      <c r="M654" s="7">
        <f t="shared" si="32"/>
        <v>45828</v>
      </c>
      <c r="N654" s="7"/>
      <c r="O654" s="7"/>
    </row>
    <row r="655" spans="1:15" x14ac:dyDescent="0.25">
      <c r="A655" t="s">
        <v>663</v>
      </c>
      <c r="B655" t="s">
        <v>4</v>
      </c>
      <c r="C655" t="s">
        <v>2</v>
      </c>
      <c r="D655">
        <v>12</v>
      </c>
      <c r="E655">
        <v>32000</v>
      </c>
      <c r="F655">
        <v>60.065060870036902</v>
      </c>
      <c r="G655">
        <v>-82.068144917331395</v>
      </c>
      <c r="H655">
        <v>3500</v>
      </c>
      <c r="I655">
        <v>300</v>
      </c>
      <c r="J655">
        <v>126</v>
      </c>
      <c r="K655" t="str">
        <f t="shared" si="30"/>
        <v>Miami → Tokyo</v>
      </c>
      <c r="L655" s="5">
        <f t="shared" si="31"/>
        <v>25</v>
      </c>
      <c r="M655" s="7">
        <f t="shared" si="32"/>
        <v>37800</v>
      </c>
      <c r="N655" s="7"/>
      <c r="O655" s="7"/>
    </row>
    <row r="656" spans="1:15" x14ac:dyDescent="0.25">
      <c r="A656" t="s">
        <v>664</v>
      </c>
      <c r="B656" t="s">
        <v>4</v>
      </c>
      <c r="C656" t="s">
        <v>2</v>
      </c>
      <c r="D656">
        <v>5</v>
      </c>
      <c r="E656">
        <v>32000</v>
      </c>
      <c r="F656">
        <v>-63.710155528526201</v>
      </c>
      <c r="G656">
        <v>-56.650166939962801</v>
      </c>
      <c r="H656">
        <v>2729</v>
      </c>
      <c r="I656">
        <v>300</v>
      </c>
      <c r="J656">
        <v>200</v>
      </c>
      <c r="K656" t="str">
        <f t="shared" si="30"/>
        <v>Miami → Tokyo</v>
      </c>
      <c r="L656" s="5">
        <f t="shared" si="31"/>
        <v>60</v>
      </c>
      <c r="M656" s="7">
        <f t="shared" si="32"/>
        <v>60000</v>
      </c>
      <c r="N656" s="7"/>
      <c r="O656" s="7"/>
    </row>
    <row r="657" spans="1:15" x14ac:dyDescent="0.25">
      <c r="A657" t="s">
        <v>665</v>
      </c>
      <c r="B657" t="s">
        <v>28</v>
      </c>
      <c r="C657" t="s">
        <v>13</v>
      </c>
      <c r="D657">
        <v>9</v>
      </c>
      <c r="E657">
        <v>30000</v>
      </c>
      <c r="F657">
        <v>143.25090730476001</v>
      </c>
      <c r="G657">
        <v>7.4286199695020496</v>
      </c>
      <c r="H657">
        <v>2847</v>
      </c>
      <c r="I657">
        <v>354</v>
      </c>
      <c r="J657">
        <v>122</v>
      </c>
      <c r="K657" t="str">
        <f t="shared" si="30"/>
        <v>New York → Paris</v>
      </c>
      <c r="L657" s="5">
        <f t="shared" si="31"/>
        <v>39.333333333333336</v>
      </c>
      <c r="M657" s="7">
        <f t="shared" si="32"/>
        <v>43188</v>
      </c>
      <c r="N657" s="7"/>
      <c r="O657" s="7"/>
    </row>
    <row r="658" spans="1:15" x14ac:dyDescent="0.25">
      <c r="A658" t="s">
        <v>666</v>
      </c>
      <c r="B658" t="s">
        <v>28</v>
      </c>
      <c r="C658" t="s">
        <v>13</v>
      </c>
      <c r="D658">
        <v>9</v>
      </c>
      <c r="E658">
        <v>30000</v>
      </c>
      <c r="F658">
        <v>139.722548016253</v>
      </c>
      <c r="G658">
        <v>26.202992656936999</v>
      </c>
      <c r="H658">
        <v>2847</v>
      </c>
      <c r="I658">
        <v>354</v>
      </c>
      <c r="J658">
        <v>122</v>
      </c>
      <c r="K658" t="str">
        <f t="shared" si="30"/>
        <v>New York → Paris</v>
      </c>
      <c r="L658" s="5">
        <f t="shared" si="31"/>
        <v>39.333333333333336</v>
      </c>
      <c r="M658" s="7">
        <f t="shared" si="32"/>
        <v>43188</v>
      </c>
      <c r="N658" s="7"/>
      <c r="O658" s="7"/>
    </row>
    <row r="659" spans="1:15" x14ac:dyDescent="0.25">
      <c r="A659" t="s">
        <v>667</v>
      </c>
      <c r="B659" t="s">
        <v>11</v>
      </c>
      <c r="C659" t="s">
        <v>20</v>
      </c>
      <c r="D659">
        <v>9</v>
      </c>
      <c r="E659">
        <v>30000</v>
      </c>
      <c r="F659">
        <v>-62.8953773897708</v>
      </c>
      <c r="G659">
        <v>-81.794671569239597</v>
      </c>
      <c r="H659">
        <v>2500</v>
      </c>
      <c r="I659">
        <v>450</v>
      </c>
      <c r="J659">
        <v>100</v>
      </c>
      <c r="K659" t="str">
        <f t="shared" si="30"/>
        <v>Los Angeles → Dubai</v>
      </c>
      <c r="L659" s="5">
        <f t="shared" si="31"/>
        <v>50</v>
      </c>
      <c r="M659" s="7">
        <f t="shared" si="32"/>
        <v>45000</v>
      </c>
      <c r="N659" s="7"/>
      <c r="O659" s="7"/>
    </row>
    <row r="660" spans="1:15" x14ac:dyDescent="0.25">
      <c r="A660" t="s">
        <v>668</v>
      </c>
      <c r="B660" t="s">
        <v>28</v>
      </c>
      <c r="C660" t="s">
        <v>15</v>
      </c>
      <c r="D660">
        <v>12</v>
      </c>
      <c r="E660">
        <v>35000</v>
      </c>
      <c r="F660">
        <v>144.34592244856799</v>
      </c>
      <c r="G660">
        <v>80.274760172207905</v>
      </c>
      <c r="H660">
        <v>2760</v>
      </c>
      <c r="I660">
        <v>300</v>
      </c>
      <c r="J660">
        <v>150</v>
      </c>
      <c r="K660" t="str">
        <f t="shared" si="30"/>
        <v>New York → London</v>
      </c>
      <c r="L660" s="5">
        <f t="shared" si="31"/>
        <v>25</v>
      </c>
      <c r="M660" s="7">
        <f t="shared" si="32"/>
        <v>45000</v>
      </c>
      <c r="N660" s="7"/>
      <c r="O660" s="7"/>
    </row>
    <row r="661" spans="1:15" x14ac:dyDescent="0.25">
      <c r="A661" t="s">
        <v>669</v>
      </c>
      <c r="B661" t="s">
        <v>6</v>
      </c>
      <c r="C661" t="s">
        <v>2</v>
      </c>
      <c r="D661">
        <v>7</v>
      </c>
      <c r="E661">
        <v>35000</v>
      </c>
      <c r="F661">
        <v>178.61676245955999</v>
      </c>
      <c r="G661">
        <v>61.589767797068603</v>
      </c>
      <c r="H661">
        <v>3500</v>
      </c>
      <c r="I661">
        <v>600</v>
      </c>
      <c r="J661">
        <v>150</v>
      </c>
      <c r="K661" t="str">
        <f t="shared" si="30"/>
        <v>Chicago → Tokyo</v>
      </c>
      <c r="L661" s="5">
        <f t="shared" si="31"/>
        <v>85.714285714285708</v>
      </c>
      <c r="M661" s="7">
        <f t="shared" si="32"/>
        <v>90000</v>
      </c>
      <c r="N661" s="7"/>
      <c r="O661" s="7"/>
    </row>
    <row r="662" spans="1:15" x14ac:dyDescent="0.25">
      <c r="A662" t="s">
        <v>670</v>
      </c>
      <c r="B662" t="s">
        <v>4</v>
      </c>
      <c r="C662" t="s">
        <v>13</v>
      </c>
      <c r="D662">
        <v>8</v>
      </c>
      <c r="E662">
        <v>30000</v>
      </c>
      <c r="F662">
        <v>117.149639084621</v>
      </c>
      <c r="G662">
        <v>-36.609753211723202</v>
      </c>
      <c r="H662">
        <v>2718</v>
      </c>
      <c r="I662">
        <v>354</v>
      </c>
      <c r="J662">
        <v>115</v>
      </c>
      <c r="K662" t="str">
        <f t="shared" si="30"/>
        <v>Miami → Paris</v>
      </c>
      <c r="L662" s="5">
        <f t="shared" si="31"/>
        <v>44.25</v>
      </c>
      <c r="M662" s="7">
        <f t="shared" si="32"/>
        <v>40710</v>
      </c>
      <c r="N662" s="7"/>
      <c r="O662" s="7"/>
    </row>
    <row r="663" spans="1:15" x14ac:dyDescent="0.25">
      <c r="A663" t="s">
        <v>671</v>
      </c>
      <c r="B663" t="s">
        <v>11</v>
      </c>
      <c r="C663" t="s">
        <v>20</v>
      </c>
      <c r="D663">
        <v>9</v>
      </c>
      <c r="E663">
        <v>32000</v>
      </c>
      <c r="F663">
        <v>124.153685191883</v>
      </c>
      <c r="G663">
        <v>-76.106244559235805</v>
      </c>
      <c r="H663">
        <v>2794</v>
      </c>
      <c r="I663">
        <v>402</v>
      </c>
      <c r="J663">
        <v>113</v>
      </c>
      <c r="K663" t="str">
        <f t="shared" si="30"/>
        <v>Los Angeles → Dubai</v>
      </c>
      <c r="L663" s="5">
        <f t="shared" si="31"/>
        <v>44.666666666666664</v>
      </c>
      <c r="M663" s="7">
        <f t="shared" si="32"/>
        <v>45426</v>
      </c>
      <c r="N663" s="7"/>
      <c r="O663" s="7"/>
    </row>
    <row r="664" spans="1:15" x14ac:dyDescent="0.25">
      <c r="A664" t="s">
        <v>672</v>
      </c>
      <c r="B664" t="s">
        <v>28</v>
      </c>
      <c r="C664" t="s">
        <v>13</v>
      </c>
      <c r="D664">
        <v>9</v>
      </c>
      <c r="E664">
        <v>30000</v>
      </c>
      <c r="F664">
        <v>-90.356855000727606</v>
      </c>
      <c r="G664">
        <v>-59.420326820569699</v>
      </c>
      <c r="H664">
        <v>2847</v>
      </c>
      <c r="I664">
        <v>354</v>
      </c>
      <c r="J664">
        <v>122</v>
      </c>
      <c r="K664" t="str">
        <f t="shared" si="30"/>
        <v>New York → Paris</v>
      </c>
      <c r="L664" s="5">
        <f t="shared" si="31"/>
        <v>39.333333333333336</v>
      </c>
      <c r="M664" s="7">
        <f t="shared" si="32"/>
        <v>43188</v>
      </c>
      <c r="N664" s="7"/>
      <c r="O664" s="7"/>
    </row>
    <row r="665" spans="1:15" x14ac:dyDescent="0.25">
      <c r="A665" t="s">
        <v>673</v>
      </c>
      <c r="B665" t="s">
        <v>6</v>
      </c>
      <c r="C665" t="s">
        <v>2</v>
      </c>
      <c r="D665">
        <v>15</v>
      </c>
      <c r="E665">
        <v>35000</v>
      </c>
      <c r="F665">
        <v>27.612863588792301</v>
      </c>
      <c r="G665">
        <v>-67.150005524104898</v>
      </c>
      <c r="H665">
        <v>2000</v>
      </c>
      <c r="I665">
        <v>300</v>
      </c>
      <c r="J665">
        <v>200</v>
      </c>
      <c r="K665" t="str">
        <f t="shared" si="30"/>
        <v>Chicago → Tokyo</v>
      </c>
      <c r="L665" s="5">
        <f t="shared" si="31"/>
        <v>20</v>
      </c>
      <c r="M665" s="7">
        <f t="shared" si="32"/>
        <v>60000</v>
      </c>
      <c r="N665" s="7"/>
      <c r="O665" s="7"/>
    </row>
    <row r="666" spans="1:15" x14ac:dyDescent="0.25">
      <c r="A666" t="s">
        <v>674</v>
      </c>
      <c r="B666" t="s">
        <v>6</v>
      </c>
      <c r="C666" t="s">
        <v>2</v>
      </c>
      <c r="D666">
        <v>8</v>
      </c>
      <c r="E666">
        <v>30000</v>
      </c>
      <c r="F666">
        <v>-155.78787097174799</v>
      </c>
      <c r="G666">
        <v>-67.8089197261896</v>
      </c>
      <c r="H666">
        <v>2583</v>
      </c>
      <c r="I666">
        <v>397</v>
      </c>
      <c r="J666">
        <v>133</v>
      </c>
      <c r="K666" t="str">
        <f t="shared" si="30"/>
        <v>Chicago → Tokyo</v>
      </c>
      <c r="L666" s="5">
        <f t="shared" si="31"/>
        <v>49.625</v>
      </c>
      <c r="M666" s="7">
        <f t="shared" si="32"/>
        <v>52801</v>
      </c>
      <c r="N666" s="7"/>
      <c r="O666" s="7"/>
    </row>
    <row r="667" spans="1:15" x14ac:dyDescent="0.25">
      <c r="A667" t="s">
        <v>675</v>
      </c>
      <c r="B667" t="s">
        <v>28</v>
      </c>
      <c r="C667" t="s">
        <v>9</v>
      </c>
      <c r="D667">
        <v>7</v>
      </c>
      <c r="E667">
        <v>35000</v>
      </c>
      <c r="F667">
        <v>-145.82954274419899</v>
      </c>
      <c r="G667">
        <v>3.3411039598321102</v>
      </c>
      <c r="H667">
        <v>2800</v>
      </c>
      <c r="I667">
        <v>150</v>
      </c>
      <c r="J667">
        <v>120</v>
      </c>
      <c r="K667" t="str">
        <f t="shared" si="30"/>
        <v>New York → Sydney</v>
      </c>
      <c r="L667" s="5">
        <f t="shared" si="31"/>
        <v>21.428571428571427</v>
      </c>
      <c r="M667" s="7">
        <f t="shared" si="32"/>
        <v>18000</v>
      </c>
      <c r="N667" s="7"/>
      <c r="O667" s="7"/>
    </row>
    <row r="668" spans="1:15" x14ac:dyDescent="0.25">
      <c r="A668" t="s">
        <v>676</v>
      </c>
      <c r="B668" t="s">
        <v>4</v>
      </c>
      <c r="C668" t="s">
        <v>15</v>
      </c>
      <c r="D668">
        <v>5</v>
      </c>
      <c r="E668">
        <v>32000</v>
      </c>
      <c r="F668">
        <v>179.601340331985</v>
      </c>
      <c r="G668">
        <v>-45.747460351187897</v>
      </c>
      <c r="H668">
        <v>2615</v>
      </c>
      <c r="I668">
        <v>300</v>
      </c>
      <c r="J668">
        <v>100</v>
      </c>
      <c r="K668" t="str">
        <f t="shared" si="30"/>
        <v>Miami → London</v>
      </c>
      <c r="L668" s="5">
        <f t="shared" si="31"/>
        <v>60</v>
      </c>
      <c r="M668" s="7">
        <f t="shared" si="32"/>
        <v>30000</v>
      </c>
      <c r="N668" s="7"/>
      <c r="O668" s="7"/>
    </row>
    <row r="669" spans="1:15" x14ac:dyDescent="0.25">
      <c r="A669" t="s">
        <v>677</v>
      </c>
      <c r="B669" t="s">
        <v>28</v>
      </c>
      <c r="C669" t="s">
        <v>9</v>
      </c>
      <c r="D669">
        <v>9</v>
      </c>
      <c r="E669">
        <v>30000</v>
      </c>
      <c r="F669">
        <v>-62.409870206672103</v>
      </c>
      <c r="G669">
        <v>-25.534851024754001</v>
      </c>
      <c r="H669">
        <v>3000</v>
      </c>
      <c r="I669">
        <v>600</v>
      </c>
      <c r="J669">
        <v>50</v>
      </c>
      <c r="K669" t="str">
        <f t="shared" si="30"/>
        <v>New York → Sydney</v>
      </c>
      <c r="L669" s="5">
        <f t="shared" si="31"/>
        <v>66.666666666666671</v>
      </c>
      <c r="M669" s="7">
        <f t="shared" si="32"/>
        <v>30000</v>
      </c>
      <c r="N669" s="7"/>
      <c r="O669" s="7"/>
    </row>
    <row r="670" spans="1:15" x14ac:dyDescent="0.25">
      <c r="A670" t="s">
        <v>678</v>
      </c>
      <c r="B670" t="s">
        <v>11</v>
      </c>
      <c r="C670" t="s">
        <v>20</v>
      </c>
      <c r="D670">
        <v>11</v>
      </c>
      <c r="E670">
        <v>30000</v>
      </c>
      <c r="F670">
        <v>89.346208337584699</v>
      </c>
      <c r="G670">
        <v>88.110960009178001</v>
      </c>
      <c r="H670">
        <v>2794</v>
      </c>
      <c r="I670">
        <v>402</v>
      </c>
      <c r="J670">
        <v>113</v>
      </c>
      <c r="K670" t="str">
        <f t="shared" si="30"/>
        <v>Los Angeles → Dubai</v>
      </c>
      <c r="L670" s="5">
        <f t="shared" si="31"/>
        <v>36.545454545454547</v>
      </c>
      <c r="M670" s="7">
        <f t="shared" si="32"/>
        <v>45426</v>
      </c>
      <c r="N670" s="7"/>
      <c r="O670" s="7"/>
    </row>
    <row r="671" spans="1:15" x14ac:dyDescent="0.25">
      <c r="A671" t="s">
        <v>679</v>
      </c>
      <c r="B671" t="s">
        <v>28</v>
      </c>
      <c r="C671" t="s">
        <v>13</v>
      </c>
      <c r="D671">
        <v>7</v>
      </c>
      <c r="E671">
        <v>35000</v>
      </c>
      <c r="F671">
        <v>110.399419089654</v>
      </c>
      <c r="G671">
        <v>33.176564806562098</v>
      </c>
      <c r="H671">
        <v>2500</v>
      </c>
      <c r="I671">
        <v>354</v>
      </c>
      <c r="J671">
        <v>100</v>
      </c>
      <c r="K671" t="str">
        <f t="shared" si="30"/>
        <v>New York → Paris</v>
      </c>
      <c r="L671" s="5">
        <f t="shared" si="31"/>
        <v>50.571428571428569</v>
      </c>
      <c r="M671" s="7">
        <f t="shared" si="32"/>
        <v>35400</v>
      </c>
      <c r="N671" s="7"/>
      <c r="O671" s="7"/>
    </row>
    <row r="672" spans="1:15" x14ac:dyDescent="0.25">
      <c r="A672" t="s">
        <v>680</v>
      </c>
      <c r="B672" t="s">
        <v>6</v>
      </c>
      <c r="C672" t="s">
        <v>20</v>
      </c>
      <c r="D672">
        <v>10</v>
      </c>
      <c r="E672">
        <v>30000</v>
      </c>
      <c r="F672">
        <v>128.88837756260301</v>
      </c>
      <c r="G672">
        <v>80.816520068460306</v>
      </c>
      <c r="H672">
        <v>2636</v>
      </c>
      <c r="I672">
        <v>402</v>
      </c>
      <c r="J672">
        <v>114</v>
      </c>
      <c r="K672" t="str">
        <f t="shared" si="30"/>
        <v>Chicago → Dubai</v>
      </c>
      <c r="L672" s="5">
        <f t="shared" si="31"/>
        <v>40.200000000000003</v>
      </c>
      <c r="M672" s="7">
        <f t="shared" si="32"/>
        <v>45828</v>
      </c>
      <c r="N672" s="7"/>
      <c r="O672" s="7"/>
    </row>
    <row r="673" spans="1:15" x14ac:dyDescent="0.25">
      <c r="A673" t="s">
        <v>681</v>
      </c>
      <c r="B673" t="s">
        <v>28</v>
      </c>
      <c r="C673" t="s">
        <v>2</v>
      </c>
      <c r="D673">
        <v>12</v>
      </c>
      <c r="E673">
        <v>32000</v>
      </c>
      <c r="F673">
        <v>179.146187064776</v>
      </c>
      <c r="G673">
        <v>-64.339820094039197</v>
      </c>
      <c r="H673">
        <v>3500</v>
      </c>
      <c r="I673">
        <v>450</v>
      </c>
      <c r="J673">
        <v>100</v>
      </c>
      <c r="K673" t="str">
        <f t="shared" si="30"/>
        <v>New York → Tokyo</v>
      </c>
      <c r="L673" s="5">
        <f t="shared" si="31"/>
        <v>37.5</v>
      </c>
      <c r="M673" s="7">
        <f t="shared" si="32"/>
        <v>45000</v>
      </c>
      <c r="N673" s="7"/>
      <c r="O673" s="7"/>
    </row>
    <row r="674" spans="1:15" x14ac:dyDescent="0.25">
      <c r="A674" t="s">
        <v>682</v>
      </c>
      <c r="B674" t="s">
        <v>4</v>
      </c>
      <c r="C674" t="s">
        <v>9</v>
      </c>
      <c r="D674">
        <v>15</v>
      </c>
      <c r="E674">
        <v>30000</v>
      </c>
      <c r="F674">
        <v>-93.061265307527606</v>
      </c>
      <c r="G674">
        <v>-21.214894530137499</v>
      </c>
      <c r="H674">
        <v>3500</v>
      </c>
      <c r="I674">
        <v>300</v>
      </c>
      <c r="J674">
        <v>50</v>
      </c>
      <c r="K674" t="str">
        <f t="shared" si="30"/>
        <v>Miami → Sydney</v>
      </c>
      <c r="L674" s="5">
        <f t="shared" si="31"/>
        <v>20</v>
      </c>
      <c r="M674" s="7">
        <f t="shared" si="32"/>
        <v>15000</v>
      </c>
      <c r="N674" s="7"/>
      <c r="O674" s="7"/>
    </row>
    <row r="675" spans="1:15" x14ac:dyDescent="0.25">
      <c r="A675" t="s">
        <v>683</v>
      </c>
      <c r="B675" t="s">
        <v>1</v>
      </c>
      <c r="C675" t="s">
        <v>9</v>
      </c>
      <c r="D675">
        <v>7</v>
      </c>
      <c r="E675">
        <v>35000</v>
      </c>
      <c r="F675">
        <v>-165.47370233050799</v>
      </c>
      <c r="G675">
        <v>9.8517245908237605</v>
      </c>
      <c r="H675">
        <v>3500</v>
      </c>
      <c r="I675">
        <v>300</v>
      </c>
      <c r="J675">
        <v>150</v>
      </c>
      <c r="K675" t="str">
        <f t="shared" si="30"/>
        <v>Houston → Sydney</v>
      </c>
      <c r="L675" s="5">
        <f t="shared" si="31"/>
        <v>42.857142857142854</v>
      </c>
      <c r="M675" s="7">
        <f t="shared" si="32"/>
        <v>45000</v>
      </c>
      <c r="N675" s="7"/>
      <c r="O675" s="7"/>
    </row>
    <row r="676" spans="1:15" x14ac:dyDescent="0.25">
      <c r="A676" t="s">
        <v>684</v>
      </c>
      <c r="B676" t="s">
        <v>28</v>
      </c>
      <c r="C676" t="s">
        <v>9</v>
      </c>
      <c r="D676">
        <v>7</v>
      </c>
      <c r="E676">
        <v>30000</v>
      </c>
      <c r="F676">
        <v>-31.971053521948999</v>
      </c>
      <c r="G676">
        <v>-76.183548860027201</v>
      </c>
      <c r="H676">
        <v>3000</v>
      </c>
      <c r="I676">
        <v>356</v>
      </c>
      <c r="J676">
        <v>100</v>
      </c>
      <c r="K676" t="str">
        <f t="shared" si="30"/>
        <v>New York → Sydney</v>
      </c>
      <c r="L676" s="5">
        <f t="shared" si="31"/>
        <v>50.857142857142854</v>
      </c>
      <c r="M676" s="7">
        <f t="shared" si="32"/>
        <v>35600</v>
      </c>
      <c r="N676" s="7"/>
      <c r="O676" s="7"/>
    </row>
    <row r="677" spans="1:15" x14ac:dyDescent="0.25">
      <c r="A677" t="s">
        <v>685</v>
      </c>
      <c r="B677" t="s">
        <v>4</v>
      </c>
      <c r="C677" t="s">
        <v>20</v>
      </c>
      <c r="D677">
        <v>12</v>
      </c>
      <c r="E677">
        <v>35000</v>
      </c>
      <c r="F677">
        <v>-133.17095886157901</v>
      </c>
      <c r="G677">
        <v>-89.2462601469676</v>
      </c>
      <c r="H677">
        <v>2700</v>
      </c>
      <c r="I677">
        <v>402</v>
      </c>
      <c r="J677">
        <v>200</v>
      </c>
      <c r="K677" t="str">
        <f t="shared" si="30"/>
        <v>Miami → Dubai</v>
      </c>
      <c r="L677" s="5">
        <f t="shared" si="31"/>
        <v>33.5</v>
      </c>
      <c r="M677" s="7">
        <f t="shared" si="32"/>
        <v>80400</v>
      </c>
      <c r="N677" s="7"/>
      <c r="O677" s="7"/>
    </row>
    <row r="678" spans="1:15" x14ac:dyDescent="0.25">
      <c r="A678" t="s">
        <v>686</v>
      </c>
      <c r="B678" t="s">
        <v>4</v>
      </c>
      <c r="C678" t="s">
        <v>2</v>
      </c>
      <c r="D678">
        <v>9</v>
      </c>
      <c r="E678">
        <v>30000</v>
      </c>
      <c r="F678">
        <v>-171.92667990166001</v>
      </c>
      <c r="G678">
        <v>30.678180083445199</v>
      </c>
      <c r="H678">
        <v>3500</v>
      </c>
      <c r="I678">
        <v>150</v>
      </c>
      <c r="J678">
        <v>126</v>
      </c>
      <c r="K678" t="str">
        <f t="shared" si="30"/>
        <v>Miami → Tokyo</v>
      </c>
      <c r="L678" s="5">
        <f t="shared" si="31"/>
        <v>16.666666666666668</v>
      </c>
      <c r="M678" s="7">
        <f t="shared" si="32"/>
        <v>18900</v>
      </c>
      <c r="N678" s="7"/>
      <c r="O678" s="7"/>
    </row>
    <row r="679" spans="1:15" x14ac:dyDescent="0.25">
      <c r="A679" t="s">
        <v>687</v>
      </c>
      <c r="B679" t="s">
        <v>6</v>
      </c>
      <c r="C679" t="s">
        <v>13</v>
      </c>
      <c r="D679">
        <v>10</v>
      </c>
      <c r="E679">
        <v>30000</v>
      </c>
      <c r="F679">
        <v>-50.246342229065</v>
      </c>
      <c r="G679">
        <v>25.527513024258401</v>
      </c>
      <c r="H679">
        <v>2928</v>
      </c>
      <c r="I679">
        <v>354</v>
      </c>
      <c r="J679">
        <v>121</v>
      </c>
      <c r="K679" t="str">
        <f t="shared" si="30"/>
        <v>Chicago → Paris</v>
      </c>
      <c r="L679" s="5">
        <f t="shared" si="31"/>
        <v>35.4</v>
      </c>
      <c r="M679" s="7">
        <f t="shared" si="32"/>
        <v>42834</v>
      </c>
      <c r="N679" s="7"/>
      <c r="O679" s="7"/>
    </row>
    <row r="680" spans="1:15" x14ac:dyDescent="0.25">
      <c r="A680" t="s">
        <v>688</v>
      </c>
      <c r="B680" t="s">
        <v>4</v>
      </c>
      <c r="C680" t="s">
        <v>13</v>
      </c>
      <c r="D680">
        <v>8</v>
      </c>
      <c r="E680">
        <v>30000</v>
      </c>
      <c r="F680">
        <v>102.14577038708499</v>
      </c>
      <c r="G680">
        <v>-16.058014200069898</v>
      </c>
      <c r="H680">
        <v>2718</v>
      </c>
      <c r="I680">
        <v>354</v>
      </c>
      <c r="J680">
        <v>115</v>
      </c>
      <c r="K680" t="str">
        <f t="shared" si="30"/>
        <v>Miami → Paris</v>
      </c>
      <c r="L680" s="5">
        <f t="shared" si="31"/>
        <v>44.25</v>
      </c>
      <c r="M680" s="7">
        <f t="shared" si="32"/>
        <v>40710</v>
      </c>
      <c r="N680" s="7"/>
      <c r="O680" s="7"/>
    </row>
    <row r="681" spans="1:15" x14ac:dyDescent="0.25">
      <c r="A681" t="s">
        <v>689</v>
      </c>
      <c r="B681" t="s">
        <v>4</v>
      </c>
      <c r="C681" t="s">
        <v>20</v>
      </c>
      <c r="D681">
        <v>9</v>
      </c>
      <c r="E681">
        <v>30000</v>
      </c>
      <c r="F681">
        <v>23.825048841025499</v>
      </c>
      <c r="G681">
        <v>-1.8640663142341201</v>
      </c>
      <c r="H681">
        <v>2700</v>
      </c>
      <c r="I681">
        <v>402</v>
      </c>
      <c r="J681">
        <v>128</v>
      </c>
      <c r="K681" t="str">
        <f t="shared" si="30"/>
        <v>Miami → Dubai</v>
      </c>
      <c r="L681" s="5">
        <f t="shared" si="31"/>
        <v>44.666666666666664</v>
      </c>
      <c r="M681" s="7">
        <f t="shared" si="32"/>
        <v>51456</v>
      </c>
      <c r="N681" s="7"/>
      <c r="O681" s="7"/>
    </row>
    <row r="682" spans="1:15" x14ac:dyDescent="0.25">
      <c r="A682" t="s">
        <v>690</v>
      </c>
      <c r="B682" t="s">
        <v>4</v>
      </c>
      <c r="C682" t="s">
        <v>9</v>
      </c>
      <c r="D682">
        <v>15</v>
      </c>
      <c r="E682">
        <v>30000</v>
      </c>
      <c r="F682">
        <v>-67.399923884272496</v>
      </c>
      <c r="G682">
        <v>-15.220259893423901</v>
      </c>
      <c r="H682">
        <v>3500</v>
      </c>
      <c r="I682">
        <v>150</v>
      </c>
      <c r="J682">
        <v>50</v>
      </c>
      <c r="K682" t="str">
        <f t="shared" si="30"/>
        <v>Miami → Sydney</v>
      </c>
      <c r="L682" s="5">
        <f t="shared" si="31"/>
        <v>10</v>
      </c>
      <c r="M682" s="7">
        <f t="shared" si="32"/>
        <v>7500</v>
      </c>
      <c r="N682" s="7"/>
      <c r="O682" s="7"/>
    </row>
    <row r="683" spans="1:15" x14ac:dyDescent="0.25">
      <c r="A683" t="s">
        <v>691</v>
      </c>
      <c r="B683" t="s">
        <v>4</v>
      </c>
      <c r="C683" t="s">
        <v>15</v>
      </c>
      <c r="D683">
        <v>7</v>
      </c>
      <c r="E683">
        <v>30000</v>
      </c>
      <c r="F683">
        <v>55.563121977379097</v>
      </c>
      <c r="G683">
        <v>-85.679091927919998</v>
      </c>
      <c r="H683">
        <v>3000</v>
      </c>
      <c r="I683">
        <v>150</v>
      </c>
      <c r="J683">
        <v>150</v>
      </c>
      <c r="K683" t="str">
        <f t="shared" si="30"/>
        <v>Miami → London</v>
      </c>
      <c r="L683" s="5">
        <f t="shared" si="31"/>
        <v>21.428571428571427</v>
      </c>
      <c r="M683" s="7">
        <f t="shared" si="32"/>
        <v>22500</v>
      </c>
      <c r="N683" s="7"/>
      <c r="O683" s="7"/>
    </row>
    <row r="684" spans="1:15" x14ac:dyDescent="0.25">
      <c r="A684" t="s">
        <v>692</v>
      </c>
      <c r="B684" t="s">
        <v>11</v>
      </c>
      <c r="C684" t="s">
        <v>20</v>
      </c>
      <c r="D684">
        <v>15</v>
      </c>
      <c r="E684">
        <v>30000</v>
      </c>
      <c r="F684">
        <v>-96.473455088828103</v>
      </c>
      <c r="G684">
        <v>-29.633110880856801</v>
      </c>
      <c r="H684">
        <v>2500</v>
      </c>
      <c r="I684">
        <v>450</v>
      </c>
      <c r="J684">
        <v>113</v>
      </c>
      <c r="K684" t="str">
        <f t="shared" si="30"/>
        <v>Los Angeles → Dubai</v>
      </c>
      <c r="L684" s="5">
        <f t="shared" si="31"/>
        <v>30</v>
      </c>
      <c r="M684" s="7">
        <f t="shared" si="32"/>
        <v>50850</v>
      </c>
      <c r="N684" s="7"/>
      <c r="O684" s="7"/>
    </row>
    <row r="685" spans="1:15" x14ac:dyDescent="0.25">
      <c r="A685" t="s">
        <v>693</v>
      </c>
      <c r="B685" t="s">
        <v>11</v>
      </c>
      <c r="C685" t="s">
        <v>20</v>
      </c>
      <c r="D685">
        <v>9</v>
      </c>
      <c r="E685">
        <v>35000</v>
      </c>
      <c r="F685">
        <v>-174.82267941404899</v>
      </c>
      <c r="G685">
        <v>-58.125194028487797</v>
      </c>
      <c r="H685">
        <v>2500</v>
      </c>
      <c r="I685">
        <v>150</v>
      </c>
      <c r="J685">
        <v>150</v>
      </c>
      <c r="K685" t="str">
        <f t="shared" si="30"/>
        <v>Los Angeles → Dubai</v>
      </c>
      <c r="L685" s="5">
        <f t="shared" si="31"/>
        <v>16.666666666666668</v>
      </c>
      <c r="M685" s="7">
        <f t="shared" si="32"/>
        <v>22500</v>
      </c>
      <c r="N685" s="7"/>
      <c r="O685" s="7"/>
    </row>
    <row r="686" spans="1:15" x14ac:dyDescent="0.25">
      <c r="A686" t="s">
        <v>694</v>
      </c>
      <c r="B686" t="s">
        <v>6</v>
      </c>
      <c r="C686" t="s">
        <v>2</v>
      </c>
      <c r="D686">
        <v>7</v>
      </c>
      <c r="E686">
        <v>30000</v>
      </c>
      <c r="F686">
        <v>95.167219117113902</v>
      </c>
      <c r="G686">
        <v>-72.283645961753606</v>
      </c>
      <c r="H686">
        <v>2583</v>
      </c>
      <c r="I686">
        <v>300</v>
      </c>
      <c r="J686">
        <v>50</v>
      </c>
      <c r="K686" t="str">
        <f t="shared" si="30"/>
        <v>Chicago → Tokyo</v>
      </c>
      <c r="L686" s="5">
        <f t="shared" si="31"/>
        <v>42.857142857142854</v>
      </c>
      <c r="M686" s="7">
        <f t="shared" si="32"/>
        <v>15000</v>
      </c>
      <c r="N686" s="7"/>
      <c r="O686" s="7"/>
    </row>
    <row r="687" spans="1:15" x14ac:dyDescent="0.25">
      <c r="A687" t="s">
        <v>695</v>
      </c>
      <c r="B687" t="s">
        <v>28</v>
      </c>
      <c r="C687" t="s">
        <v>13</v>
      </c>
      <c r="D687">
        <v>15</v>
      </c>
      <c r="E687">
        <v>35000</v>
      </c>
      <c r="F687">
        <v>44.547510551043302</v>
      </c>
      <c r="G687">
        <v>82.209678100082996</v>
      </c>
      <c r="H687">
        <v>2500</v>
      </c>
      <c r="I687">
        <v>354</v>
      </c>
      <c r="J687">
        <v>122</v>
      </c>
      <c r="K687" t="str">
        <f t="shared" si="30"/>
        <v>New York → Paris</v>
      </c>
      <c r="L687" s="5">
        <f t="shared" si="31"/>
        <v>23.6</v>
      </c>
      <c r="M687" s="7">
        <f t="shared" si="32"/>
        <v>43188</v>
      </c>
      <c r="N687" s="7"/>
      <c r="O687" s="7"/>
    </row>
    <row r="688" spans="1:15" x14ac:dyDescent="0.25">
      <c r="A688" t="s">
        <v>696</v>
      </c>
      <c r="B688" t="s">
        <v>4</v>
      </c>
      <c r="C688" t="s">
        <v>20</v>
      </c>
      <c r="D688">
        <v>5</v>
      </c>
      <c r="E688">
        <v>30000</v>
      </c>
      <c r="F688">
        <v>94.428944820345606</v>
      </c>
      <c r="G688">
        <v>17.8847505075898</v>
      </c>
      <c r="H688">
        <v>2500</v>
      </c>
      <c r="I688">
        <v>600</v>
      </c>
      <c r="J688">
        <v>150</v>
      </c>
      <c r="K688" t="str">
        <f t="shared" si="30"/>
        <v>Miami → Dubai</v>
      </c>
      <c r="L688" s="5">
        <f t="shared" si="31"/>
        <v>120</v>
      </c>
      <c r="M688" s="7">
        <f t="shared" si="32"/>
        <v>90000</v>
      </c>
      <c r="N688" s="7"/>
      <c r="O688" s="7"/>
    </row>
    <row r="689" spans="1:15" x14ac:dyDescent="0.25">
      <c r="A689" t="s">
        <v>697</v>
      </c>
      <c r="B689" t="s">
        <v>28</v>
      </c>
      <c r="C689" t="s">
        <v>20</v>
      </c>
      <c r="D689">
        <v>11</v>
      </c>
      <c r="E689">
        <v>30000</v>
      </c>
      <c r="F689">
        <v>-165.98231399244</v>
      </c>
      <c r="G689">
        <v>41.158131162588496</v>
      </c>
      <c r="H689">
        <v>2588</v>
      </c>
      <c r="I689">
        <v>402</v>
      </c>
      <c r="J689">
        <v>134</v>
      </c>
      <c r="K689" t="str">
        <f t="shared" si="30"/>
        <v>New York → Dubai</v>
      </c>
      <c r="L689" s="5">
        <f t="shared" si="31"/>
        <v>36.545454545454547</v>
      </c>
      <c r="M689" s="7">
        <f t="shared" si="32"/>
        <v>53868</v>
      </c>
      <c r="N689" s="7"/>
      <c r="O689" s="7"/>
    </row>
    <row r="690" spans="1:15" x14ac:dyDescent="0.25">
      <c r="A690" t="s">
        <v>698</v>
      </c>
      <c r="B690" t="s">
        <v>28</v>
      </c>
      <c r="C690" t="s">
        <v>9</v>
      </c>
      <c r="D690">
        <v>9</v>
      </c>
      <c r="E690">
        <v>32000</v>
      </c>
      <c r="F690">
        <v>121.363066019035</v>
      </c>
      <c r="G690">
        <v>-33.2345262120988</v>
      </c>
      <c r="H690">
        <v>2800</v>
      </c>
      <c r="I690">
        <v>356</v>
      </c>
      <c r="J690">
        <v>150</v>
      </c>
      <c r="K690" t="str">
        <f t="shared" si="30"/>
        <v>New York → Sydney</v>
      </c>
      <c r="L690" s="5">
        <f t="shared" si="31"/>
        <v>39.555555555555557</v>
      </c>
      <c r="M690" s="7">
        <f t="shared" si="32"/>
        <v>53400</v>
      </c>
      <c r="N690" s="7"/>
      <c r="O690" s="7"/>
    </row>
    <row r="691" spans="1:15" x14ac:dyDescent="0.25">
      <c r="A691" t="s">
        <v>699</v>
      </c>
      <c r="B691" t="s">
        <v>6</v>
      </c>
      <c r="C691" t="s">
        <v>9</v>
      </c>
      <c r="D691">
        <v>9</v>
      </c>
      <c r="E691">
        <v>30000</v>
      </c>
      <c r="F691">
        <v>43.029432013069197</v>
      </c>
      <c r="G691">
        <v>-19.233516691077298</v>
      </c>
      <c r="H691">
        <v>2678</v>
      </c>
      <c r="I691">
        <v>356</v>
      </c>
      <c r="J691">
        <v>137</v>
      </c>
      <c r="K691" t="str">
        <f t="shared" si="30"/>
        <v>Chicago → Sydney</v>
      </c>
      <c r="L691" s="5">
        <f t="shared" si="31"/>
        <v>39.555555555555557</v>
      </c>
      <c r="M691" s="7">
        <f t="shared" si="32"/>
        <v>48772</v>
      </c>
      <c r="N691" s="7"/>
      <c r="O691" s="7"/>
    </row>
    <row r="692" spans="1:15" x14ac:dyDescent="0.25">
      <c r="A692" t="s">
        <v>700</v>
      </c>
      <c r="B692" t="s">
        <v>4</v>
      </c>
      <c r="C692" t="s">
        <v>15</v>
      </c>
      <c r="D692">
        <v>15</v>
      </c>
      <c r="E692">
        <v>30000</v>
      </c>
      <c r="F692">
        <v>22.822326256550401</v>
      </c>
      <c r="G692">
        <v>-47.353681098589803</v>
      </c>
      <c r="H692">
        <v>2500</v>
      </c>
      <c r="I692">
        <v>300</v>
      </c>
      <c r="J692">
        <v>50</v>
      </c>
      <c r="K692" t="str">
        <f t="shared" si="30"/>
        <v>Miami → London</v>
      </c>
      <c r="L692" s="5">
        <f t="shared" si="31"/>
        <v>20</v>
      </c>
      <c r="M692" s="7">
        <f t="shared" si="32"/>
        <v>15000</v>
      </c>
      <c r="N692" s="7"/>
      <c r="O692" s="7"/>
    </row>
    <row r="693" spans="1:15" x14ac:dyDescent="0.25">
      <c r="A693" t="s">
        <v>701</v>
      </c>
      <c r="B693" t="s">
        <v>4</v>
      </c>
      <c r="C693" t="s">
        <v>2</v>
      </c>
      <c r="D693">
        <v>12</v>
      </c>
      <c r="E693">
        <v>35000</v>
      </c>
      <c r="F693">
        <v>44.861057321231399</v>
      </c>
      <c r="G693">
        <v>-72.546179226223501</v>
      </c>
      <c r="H693">
        <v>2500</v>
      </c>
      <c r="I693">
        <v>150</v>
      </c>
      <c r="J693">
        <v>150</v>
      </c>
      <c r="K693" t="str">
        <f t="shared" si="30"/>
        <v>Miami → Tokyo</v>
      </c>
      <c r="L693" s="5">
        <f t="shared" si="31"/>
        <v>12.5</v>
      </c>
      <c r="M693" s="7">
        <f t="shared" si="32"/>
        <v>22500</v>
      </c>
      <c r="N693" s="7"/>
      <c r="O693" s="7"/>
    </row>
    <row r="694" spans="1:15" x14ac:dyDescent="0.25">
      <c r="A694" t="s">
        <v>702</v>
      </c>
      <c r="B694" t="s">
        <v>1</v>
      </c>
      <c r="C694" t="s">
        <v>15</v>
      </c>
      <c r="D694">
        <v>8</v>
      </c>
      <c r="E694">
        <v>30000</v>
      </c>
      <c r="F694">
        <v>131.19596887261099</v>
      </c>
      <c r="G694">
        <v>-57.7743052605149</v>
      </c>
      <c r="H694">
        <v>2846</v>
      </c>
      <c r="I694">
        <v>374</v>
      </c>
      <c r="J694">
        <v>138</v>
      </c>
      <c r="K694" t="str">
        <f t="shared" si="30"/>
        <v>Houston → London</v>
      </c>
      <c r="L694" s="5">
        <f t="shared" si="31"/>
        <v>46.75</v>
      </c>
      <c r="M694" s="7">
        <f t="shared" si="32"/>
        <v>51612</v>
      </c>
      <c r="N694" s="7"/>
      <c r="O694" s="7"/>
    </row>
    <row r="695" spans="1:15" x14ac:dyDescent="0.25">
      <c r="A695" t="s">
        <v>703</v>
      </c>
      <c r="B695" t="s">
        <v>28</v>
      </c>
      <c r="C695" t="s">
        <v>9</v>
      </c>
      <c r="D695">
        <v>15</v>
      </c>
      <c r="E695">
        <v>30000</v>
      </c>
      <c r="F695">
        <v>31.2971423612065</v>
      </c>
      <c r="G695">
        <v>53.552528153367497</v>
      </c>
      <c r="H695">
        <v>3000</v>
      </c>
      <c r="I695">
        <v>150</v>
      </c>
      <c r="J695">
        <v>100</v>
      </c>
      <c r="K695" t="str">
        <f t="shared" si="30"/>
        <v>New York → Sydney</v>
      </c>
      <c r="L695" s="5">
        <f t="shared" si="31"/>
        <v>10</v>
      </c>
      <c r="M695" s="7">
        <f t="shared" si="32"/>
        <v>15000</v>
      </c>
      <c r="N695" s="7"/>
      <c r="O695" s="7"/>
    </row>
    <row r="696" spans="1:15" x14ac:dyDescent="0.25">
      <c r="A696" t="s">
        <v>704</v>
      </c>
      <c r="B696" t="s">
        <v>28</v>
      </c>
      <c r="C696" t="s">
        <v>13</v>
      </c>
      <c r="D696">
        <v>5</v>
      </c>
      <c r="E696">
        <v>32000</v>
      </c>
      <c r="F696">
        <v>29.142136759744499</v>
      </c>
      <c r="G696">
        <v>31.958244933079701</v>
      </c>
      <c r="H696">
        <v>3500</v>
      </c>
      <c r="I696">
        <v>150</v>
      </c>
      <c r="J696">
        <v>50</v>
      </c>
      <c r="K696" t="str">
        <f t="shared" si="30"/>
        <v>New York → Paris</v>
      </c>
      <c r="L696" s="5">
        <f t="shared" si="31"/>
        <v>30</v>
      </c>
      <c r="M696" s="7">
        <f t="shared" si="32"/>
        <v>7500</v>
      </c>
      <c r="N696" s="7"/>
      <c r="O696" s="7"/>
    </row>
    <row r="697" spans="1:15" x14ac:dyDescent="0.25">
      <c r="A697" t="s">
        <v>705</v>
      </c>
      <c r="B697" t="s">
        <v>11</v>
      </c>
      <c r="C697" t="s">
        <v>9</v>
      </c>
      <c r="D697">
        <v>8</v>
      </c>
      <c r="E697">
        <v>30000</v>
      </c>
      <c r="F697">
        <v>176.64449654367601</v>
      </c>
      <c r="G697">
        <v>8.4471976773858408</v>
      </c>
      <c r="H697">
        <v>3000</v>
      </c>
      <c r="I697">
        <v>356</v>
      </c>
      <c r="J697">
        <v>145</v>
      </c>
      <c r="K697" t="str">
        <f t="shared" si="30"/>
        <v>Los Angeles → Sydney</v>
      </c>
      <c r="L697" s="5">
        <f t="shared" si="31"/>
        <v>44.5</v>
      </c>
      <c r="M697" s="7">
        <f t="shared" si="32"/>
        <v>51620</v>
      </c>
      <c r="N697" s="7"/>
      <c r="O697" s="7"/>
    </row>
    <row r="698" spans="1:15" x14ac:dyDescent="0.25">
      <c r="A698" t="s">
        <v>706</v>
      </c>
      <c r="B698" t="s">
        <v>1</v>
      </c>
      <c r="C698" t="s">
        <v>2</v>
      </c>
      <c r="D698">
        <v>10</v>
      </c>
      <c r="E698">
        <v>30000</v>
      </c>
      <c r="F698">
        <v>92.422860144684506</v>
      </c>
      <c r="G698">
        <v>-4.4838228839817402</v>
      </c>
      <c r="H698">
        <v>2550</v>
      </c>
      <c r="I698">
        <v>397</v>
      </c>
      <c r="J698">
        <v>120</v>
      </c>
      <c r="K698" t="str">
        <f t="shared" si="30"/>
        <v>Houston → Tokyo</v>
      </c>
      <c r="L698" s="5">
        <f t="shared" si="31"/>
        <v>39.700000000000003</v>
      </c>
      <c r="M698" s="7">
        <f t="shared" si="32"/>
        <v>47640</v>
      </c>
      <c r="N698" s="7"/>
      <c r="O698" s="7"/>
    </row>
    <row r="699" spans="1:15" x14ac:dyDescent="0.25">
      <c r="A699" t="s">
        <v>707</v>
      </c>
      <c r="B699" t="s">
        <v>11</v>
      </c>
      <c r="C699" t="s">
        <v>9</v>
      </c>
      <c r="D699">
        <v>8</v>
      </c>
      <c r="E699">
        <v>30000</v>
      </c>
      <c r="F699">
        <v>-20.774230037591298</v>
      </c>
      <c r="G699">
        <v>76.038171058102407</v>
      </c>
      <c r="H699">
        <v>3000</v>
      </c>
      <c r="I699">
        <v>356</v>
      </c>
      <c r="J699">
        <v>145</v>
      </c>
      <c r="K699" t="str">
        <f t="shared" si="30"/>
        <v>Los Angeles → Sydney</v>
      </c>
      <c r="L699" s="5">
        <f t="shared" si="31"/>
        <v>44.5</v>
      </c>
      <c r="M699" s="7">
        <f t="shared" si="32"/>
        <v>51620</v>
      </c>
      <c r="N699" s="7"/>
      <c r="O699" s="7"/>
    </row>
    <row r="700" spans="1:15" x14ac:dyDescent="0.25">
      <c r="A700" t="s">
        <v>708</v>
      </c>
      <c r="B700" t="s">
        <v>11</v>
      </c>
      <c r="C700" t="s">
        <v>2</v>
      </c>
      <c r="D700">
        <v>12</v>
      </c>
      <c r="E700">
        <v>30000</v>
      </c>
      <c r="F700">
        <v>74.662920011853998</v>
      </c>
      <c r="G700">
        <v>-76.907709399839703</v>
      </c>
      <c r="H700">
        <v>3500</v>
      </c>
      <c r="I700">
        <v>450</v>
      </c>
      <c r="J700">
        <v>100</v>
      </c>
      <c r="K700" t="str">
        <f t="shared" si="30"/>
        <v>Los Angeles → Tokyo</v>
      </c>
      <c r="L700" s="5">
        <f t="shared" si="31"/>
        <v>37.5</v>
      </c>
      <c r="M700" s="7">
        <f t="shared" si="32"/>
        <v>45000</v>
      </c>
      <c r="N700" s="7"/>
      <c r="O700" s="7"/>
    </row>
    <row r="701" spans="1:15" x14ac:dyDescent="0.25">
      <c r="A701" t="s">
        <v>709</v>
      </c>
      <c r="B701" t="s">
        <v>11</v>
      </c>
      <c r="C701" t="s">
        <v>2</v>
      </c>
      <c r="D701">
        <v>7</v>
      </c>
      <c r="E701">
        <v>32000</v>
      </c>
      <c r="F701">
        <v>-39.877030190956098</v>
      </c>
      <c r="G701">
        <v>-39.491853617175103</v>
      </c>
      <c r="H701">
        <v>2000</v>
      </c>
      <c r="I701">
        <v>450</v>
      </c>
      <c r="J701">
        <v>100</v>
      </c>
      <c r="K701" t="str">
        <f t="shared" si="30"/>
        <v>Los Angeles → Tokyo</v>
      </c>
      <c r="L701" s="5">
        <f t="shared" si="31"/>
        <v>64.285714285714292</v>
      </c>
      <c r="M701" s="7">
        <f t="shared" si="32"/>
        <v>45000</v>
      </c>
      <c r="N701" s="7"/>
      <c r="O701" s="7"/>
    </row>
    <row r="702" spans="1:15" x14ac:dyDescent="0.25">
      <c r="A702" t="s">
        <v>710</v>
      </c>
      <c r="B702" t="s">
        <v>6</v>
      </c>
      <c r="C702" t="s">
        <v>2</v>
      </c>
      <c r="D702">
        <v>5</v>
      </c>
      <c r="E702">
        <v>30000</v>
      </c>
      <c r="F702">
        <v>-97.604833505940405</v>
      </c>
      <c r="G702">
        <v>-27.011186357271502</v>
      </c>
      <c r="H702">
        <v>2583</v>
      </c>
      <c r="I702">
        <v>397</v>
      </c>
      <c r="J702">
        <v>50</v>
      </c>
      <c r="K702" t="str">
        <f t="shared" si="30"/>
        <v>Chicago → Tokyo</v>
      </c>
      <c r="L702" s="5">
        <f t="shared" si="31"/>
        <v>79.400000000000006</v>
      </c>
      <c r="M702" s="7">
        <f t="shared" si="32"/>
        <v>19850</v>
      </c>
      <c r="N702" s="7"/>
      <c r="O702" s="7"/>
    </row>
    <row r="703" spans="1:15" x14ac:dyDescent="0.25">
      <c r="A703" t="s">
        <v>711</v>
      </c>
      <c r="B703" t="s">
        <v>6</v>
      </c>
      <c r="C703" t="s">
        <v>2</v>
      </c>
      <c r="D703">
        <v>8</v>
      </c>
      <c r="E703">
        <v>30000</v>
      </c>
      <c r="F703">
        <v>34.866675679593399</v>
      </c>
      <c r="G703">
        <v>50.8366461983018</v>
      </c>
      <c r="H703">
        <v>2583</v>
      </c>
      <c r="I703">
        <v>300</v>
      </c>
      <c r="J703">
        <v>200</v>
      </c>
      <c r="K703" t="str">
        <f t="shared" si="30"/>
        <v>Chicago → Tokyo</v>
      </c>
      <c r="L703" s="5">
        <f t="shared" si="31"/>
        <v>37.5</v>
      </c>
      <c r="M703" s="7">
        <f t="shared" si="32"/>
        <v>60000</v>
      </c>
      <c r="N703" s="7"/>
      <c r="O703" s="7"/>
    </row>
    <row r="704" spans="1:15" x14ac:dyDescent="0.25">
      <c r="A704" t="s">
        <v>712</v>
      </c>
      <c r="B704" t="s">
        <v>11</v>
      </c>
      <c r="C704" t="s">
        <v>2</v>
      </c>
      <c r="D704">
        <v>5</v>
      </c>
      <c r="E704">
        <v>30000</v>
      </c>
      <c r="F704">
        <v>154.14555532102199</v>
      </c>
      <c r="G704">
        <v>88.652631629154897</v>
      </c>
      <c r="H704">
        <v>2000</v>
      </c>
      <c r="I704">
        <v>600</v>
      </c>
      <c r="J704">
        <v>119</v>
      </c>
      <c r="K704" t="str">
        <f t="shared" si="30"/>
        <v>Los Angeles → Tokyo</v>
      </c>
      <c r="L704" s="5">
        <f t="shared" si="31"/>
        <v>120</v>
      </c>
      <c r="M704" s="7">
        <f t="shared" si="32"/>
        <v>71400</v>
      </c>
      <c r="N704" s="7"/>
      <c r="O704" s="7"/>
    </row>
    <row r="705" spans="1:15" x14ac:dyDescent="0.25">
      <c r="A705" t="s">
        <v>713</v>
      </c>
      <c r="B705" t="s">
        <v>1</v>
      </c>
      <c r="C705" t="s">
        <v>13</v>
      </c>
      <c r="D705">
        <v>9</v>
      </c>
      <c r="E705">
        <v>30000</v>
      </c>
      <c r="F705">
        <v>154.49022720556701</v>
      </c>
      <c r="G705">
        <v>-46.679307343712502</v>
      </c>
      <c r="H705">
        <v>2647</v>
      </c>
      <c r="I705">
        <v>354</v>
      </c>
      <c r="J705">
        <v>113</v>
      </c>
      <c r="K705" t="str">
        <f t="shared" si="30"/>
        <v>Houston → Paris</v>
      </c>
      <c r="L705" s="5">
        <f t="shared" si="31"/>
        <v>39.333333333333336</v>
      </c>
      <c r="M705" s="7">
        <f t="shared" si="32"/>
        <v>40002</v>
      </c>
      <c r="N705" s="7"/>
      <c r="O705" s="7"/>
    </row>
    <row r="706" spans="1:15" x14ac:dyDescent="0.25">
      <c r="A706" t="s">
        <v>714</v>
      </c>
      <c r="B706" t="s">
        <v>28</v>
      </c>
      <c r="C706" t="s">
        <v>15</v>
      </c>
      <c r="D706">
        <v>15</v>
      </c>
      <c r="E706">
        <v>32000</v>
      </c>
      <c r="F706">
        <v>-56.9140998820235</v>
      </c>
      <c r="G706">
        <v>67.375320144674504</v>
      </c>
      <c r="H706">
        <v>2000</v>
      </c>
      <c r="I706">
        <v>600</v>
      </c>
      <c r="J706">
        <v>50</v>
      </c>
      <c r="K706" t="str">
        <f t="shared" si="30"/>
        <v>New York → London</v>
      </c>
      <c r="L706" s="5">
        <f t="shared" si="31"/>
        <v>40</v>
      </c>
      <c r="M706" s="7">
        <f t="shared" si="32"/>
        <v>30000</v>
      </c>
      <c r="N706" s="7"/>
      <c r="O706" s="7"/>
    </row>
    <row r="707" spans="1:15" x14ac:dyDescent="0.25">
      <c r="A707" t="s">
        <v>715</v>
      </c>
      <c r="B707" t="s">
        <v>1</v>
      </c>
      <c r="C707" t="s">
        <v>20</v>
      </c>
      <c r="D707">
        <v>8</v>
      </c>
      <c r="E707">
        <v>30000</v>
      </c>
      <c r="F707">
        <v>9.9638878398101802</v>
      </c>
      <c r="G707">
        <v>59.512096877722399</v>
      </c>
      <c r="H707">
        <v>2500</v>
      </c>
      <c r="I707">
        <v>402</v>
      </c>
      <c r="J707">
        <v>111</v>
      </c>
      <c r="K707" t="str">
        <f t="shared" ref="K707:K770" si="33">B707 &amp; " → " &amp; C707</f>
        <v>Houston → Dubai</v>
      </c>
      <c r="L707" s="5">
        <f t="shared" ref="L707:L770" si="34">I707/D707</f>
        <v>50.25</v>
      </c>
      <c r="M707" s="7">
        <f t="shared" ref="M707:M770" si="35">I707*J707</f>
        <v>44622</v>
      </c>
      <c r="N707" s="7"/>
      <c r="O707" s="7"/>
    </row>
    <row r="708" spans="1:15" x14ac:dyDescent="0.25">
      <c r="A708" t="s">
        <v>716</v>
      </c>
      <c r="B708" t="s">
        <v>4</v>
      </c>
      <c r="C708" t="s">
        <v>15</v>
      </c>
      <c r="D708">
        <v>8</v>
      </c>
      <c r="E708">
        <v>30000</v>
      </c>
      <c r="F708">
        <v>-103.81107651485</v>
      </c>
      <c r="G708">
        <v>-49.561668424482001</v>
      </c>
      <c r="H708">
        <v>2615</v>
      </c>
      <c r="I708">
        <v>374</v>
      </c>
      <c r="J708">
        <v>121</v>
      </c>
      <c r="K708" t="str">
        <f t="shared" si="33"/>
        <v>Miami → London</v>
      </c>
      <c r="L708" s="5">
        <f t="shared" si="34"/>
        <v>46.75</v>
      </c>
      <c r="M708" s="7">
        <f t="shared" si="35"/>
        <v>45254</v>
      </c>
      <c r="N708" s="7"/>
      <c r="O708" s="7"/>
    </row>
    <row r="709" spans="1:15" x14ac:dyDescent="0.25">
      <c r="A709" t="s">
        <v>717</v>
      </c>
      <c r="B709" t="s">
        <v>6</v>
      </c>
      <c r="C709" t="s">
        <v>2</v>
      </c>
      <c r="D709">
        <v>8</v>
      </c>
      <c r="E709">
        <v>30000</v>
      </c>
      <c r="F709">
        <v>178.427199419598</v>
      </c>
      <c r="G709">
        <v>-18.1201355641399</v>
      </c>
      <c r="H709">
        <v>2583</v>
      </c>
      <c r="I709">
        <v>397</v>
      </c>
      <c r="J709">
        <v>133</v>
      </c>
      <c r="K709" t="str">
        <f t="shared" si="33"/>
        <v>Chicago → Tokyo</v>
      </c>
      <c r="L709" s="5">
        <f t="shared" si="34"/>
        <v>49.625</v>
      </c>
      <c r="M709" s="7">
        <f t="shared" si="35"/>
        <v>52801</v>
      </c>
      <c r="N709" s="7"/>
      <c r="O709" s="7"/>
    </row>
    <row r="710" spans="1:15" x14ac:dyDescent="0.25">
      <c r="A710" t="s">
        <v>718</v>
      </c>
      <c r="B710" t="s">
        <v>28</v>
      </c>
      <c r="C710" t="s">
        <v>13</v>
      </c>
      <c r="D710">
        <v>9</v>
      </c>
      <c r="E710">
        <v>30000</v>
      </c>
      <c r="F710">
        <v>173.20244683245701</v>
      </c>
      <c r="G710">
        <v>-16.258883527346601</v>
      </c>
      <c r="H710">
        <v>2847</v>
      </c>
      <c r="I710">
        <v>354</v>
      </c>
      <c r="J710">
        <v>122</v>
      </c>
      <c r="K710" t="str">
        <f t="shared" si="33"/>
        <v>New York → Paris</v>
      </c>
      <c r="L710" s="5">
        <f t="shared" si="34"/>
        <v>39.333333333333336</v>
      </c>
      <c r="M710" s="7">
        <f t="shared" si="35"/>
        <v>43188</v>
      </c>
      <c r="N710" s="7"/>
      <c r="O710" s="7"/>
    </row>
    <row r="711" spans="1:15" x14ac:dyDescent="0.25">
      <c r="A711" t="s">
        <v>719</v>
      </c>
      <c r="B711" t="s">
        <v>28</v>
      </c>
      <c r="C711" t="s">
        <v>9</v>
      </c>
      <c r="D711">
        <v>9</v>
      </c>
      <c r="E711">
        <v>30000</v>
      </c>
      <c r="F711">
        <v>53.823214694680999</v>
      </c>
      <c r="G711">
        <v>86.079720334780504</v>
      </c>
      <c r="H711">
        <v>2800</v>
      </c>
      <c r="I711">
        <v>450</v>
      </c>
      <c r="J711">
        <v>50</v>
      </c>
      <c r="K711" t="str">
        <f t="shared" si="33"/>
        <v>New York → Sydney</v>
      </c>
      <c r="L711" s="5">
        <f t="shared" si="34"/>
        <v>50</v>
      </c>
      <c r="M711" s="7">
        <f t="shared" si="35"/>
        <v>22500</v>
      </c>
      <c r="N711" s="7"/>
      <c r="O711" s="7"/>
    </row>
    <row r="712" spans="1:15" x14ac:dyDescent="0.25">
      <c r="A712" t="s">
        <v>720</v>
      </c>
      <c r="B712" t="s">
        <v>4</v>
      </c>
      <c r="C712" t="s">
        <v>13</v>
      </c>
      <c r="D712">
        <v>5</v>
      </c>
      <c r="E712">
        <v>30000</v>
      </c>
      <c r="F712">
        <v>109.58906148389001</v>
      </c>
      <c r="G712">
        <v>-57.439457751798301</v>
      </c>
      <c r="H712">
        <v>3000</v>
      </c>
      <c r="I712">
        <v>300</v>
      </c>
      <c r="J712">
        <v>100</v>
      </c>
      <c r="K712" t="str">
        <f t="shared" si="33"/>
        <v>Miami → Paris</v>
      </c>
      <c r="L712" s="5">
        <f t="shared" si="34"/>
        <v>60</v>
      </c>
      <c r="M712" s="7">
        <f t="shared" si="35"/>
        <v>30000</v>
      </c>
      <c r="N712" s="7"/>
      <c r="O712" s="7"/>
    </row>
    <row r="713" spans="1:15" x14ac:dyDescent="0.25">
      <c r="A713" t="s">
        <v>721</v>
      </c>
      <c r="B713" t="s">
        <v>4</v>
      </c>
      <c r="C713" t="s">
        <v>2</v>
      </c>
      <c r="D713">
        <v>9</v>
      </c>
      <c r="E713">
        <v>30000</v>
      </c>
      <c r="F713">
        <v>77.436058062132005</v>
      </c>
      <c r="G713">
        <v>53.848434798860801</v>
      </c>
      <c r="H713">
        <v>2729</v>
      </c>
      <c r="I713">
        <v>397</v>
      </c>
      <c r="J713">
        <v>126</v>
      </c>
      <c r="K713" t="str">
        <f t="shared" si="33"/>
        <v>Miami → Tokyo</v>
      </c>
      <c r="L713" s="5">
        <f t="shared" si="34"/>
        <v>44.111111111111114</v>
      </c>
      <c r="M713" s="7">
        <f t="shared" si="35"/>
        <v>50022</v>
      </c>
      <c r="N713" s="7"/>
      <c r="O713" s="7"/>
    </row>
    <row r="714" spans="1:15" x14ac:dyDescent="0.25">
      <c r="A714" t="s">
        <v>722</v>
      </c>
      <c r="B714" t="s">
        <v>11</v>
      </c>
      <c r="C714" t="s">
        <v>13</v>
      </c>
      <c r="D714">
        <v>5</v>
      </c>
      <c r="E714">
        <v>32000</v>
      </c>
      <c r="F714">
        <v>33.5369588542085</v>
      </c>
      <c r="G714">
        <v>-29.845311448840199</v>
      </c>
      <c r="H714">
        <v>3500</v>
      </c>
      <c r="I714">
        <v>354</v>
      </c>
      <c r="J714">
        <v>200</v>
      </c>
      <c r="K714" t="str">
        <f t="shared" si="33"/>
        <v>Los Angeles → Paris</v>
      </c>
      <c r="L714" s="5">
        <f t="shared" si="34"/>
        <v>70.8</v>
      </c>
      <c r="M714" s="7">
        <f t="shared" si="35"/>
        <v>70800</v>
      </c>
      <c r="N714" s="7"/>
      <c r="O714" s="7"/>
    </row>
    <row r="715" spans="1:15" x14ac:dyDescent="0.25">
      <c r="A715" t="s">
        <v>723</v>
      </c>
      <c r="B715" t="s">
        <v>6</v>
      </c>
      <c r="C715" t="s">
        <v>13</v>
      </c>
      <c r="D715">
        <v>10</v>
      </c>
      <c r="E715">
        <v>30000</v>
      </c>
      <c r="F715">
        <v>-160.79472108399699</v>
      </c>
      <c r="G715">
        <v>41.556662239708899</v>
      </c>
      <c r="H715">
        <v>2928</v>
      </c>
      <c r="I715">
        <v>354</v>
      </c>
      <c r="J715">
        <v>121</v>
      </c>
      <c r="K715" t="str">
        <f t="shared" si="33"/>
        <v>Chicago → Paris</v>
      </c>
      <c r="L715" s="5">
        <f t="shared" si="34"/>
        <v>35.4</v>
      </c>
      <c r="M715" s="7">
        <f t="shared" si="35"/>
        <v>42834</v>
      </c>
      <c r="N715" s="7"/>
      <c r="O715" s="7"/>
    </row>
    <row r="716" spans="1:15" x14ac:dyDescent="0.25">
      <c r="A716" t="s">
        <v>724</v>
      </c>
      <c r="B716" t="s">
        <v>6</v>
      </c>
      <c r="C716" t="s">
        <v>2</v>
      </c>
      <c r="D716">
        <v>8</v>
      </c>
      <c r="E716">
        <v>30000</v>
      </c>
      <c r="F716">
        <v>-16.284836681042002</v>
      </c>
      <c r="G716">
        <v>-14.398019226780701</v>
      </c>
      <c r="H716">
        <v>2583</v>
      </c>
      <c r="I716">
        <v>397</v>
      </c>
      <c r="J716">
        <v>133</v>
      </c>
      <c r="K716" t="str">
        <f t="shared" si="33"/>
        <v>Chicago → Tokyo</v>
      </c>
      <c r="L716" s="5">
        <f t="shared" si="34"/>
        <v>49.625</v>
      </c>
      <c r="M716" s="7">
        <f t="shared" si="35"/>
        <v>52801</v>
      </c>
      <c r="N716" s="7"/>
      <c r="O716" s="7"/>
    </row>
    <row r="717" spans="1:15" x14ac:dyDescent="0.25">
      <c r="A717" t="s">
        <v>725</v>
      </c>
      <c r="B717" t="s">
        <v>1</v>
      </c>
      <c r="C717" t="s">
        <v>13</v>
      </c>
      <c r="D717">
        <v>9</v>
      </c>
      <c r="E717">
        <v>30000</v>
      </c>
      <c r="F717">
        <v>62.923068780267798</v>
      </c>
      <c r="G717">
        <v>14.104757360977199</v>
      </c>
      <c r="H717">
        <v>2647</v>
      </c>
      <c r="I717">
        <v>300</v>
      </c>
      <c r="J717">
        <v>50</v>
      </c>
      <c r="K717" t="str">
        <f t="shared" si="33"/>
        <v>Houston → Paris</v>
      </c>
      <c r="L717" s="5">
        <f t="shared" si="34"/>
        <v>33.333333333333336</v>
      </c>
      <c r="M717" s="7">
        <f t="shared" si="35"/>
        <v>15000</v>
      </c>
      <c r="N717" s="7"/>
      <c r="O717" s="7"/>
    </row>
    <row r="718" spans="1:15" x14ac:dyDescent="0.25">
      <c r="A718" t="s">
        <v>726</v>
      </c>
      <c r="B718" t="s">
        <v>11</v>
      </c>
      <c r="C718" t="s">
        <v>20</v>
      </c>
      <c r="D718">
        <v>11</v>
      </c>
      <c r="E718">
        <v>30000</v>
      </c>
      <c r="F718">
        <v>63.911380998126504</v>
      </c>
      <c r="G718">
        <v>59.870119198703598</v>
      </c>
      <c r="H718">
        <v>2794</v>
      </c>
      <c r="I718">
        <v>402</v>
      </c>
      <c r="J718">
        <v>113</v>
      </c>
      <c r="K718" t="str">
        <f t="shared" si="33"/>
        <v>Los Angeles → Dubai</v>
      </c>
      <c r="L718" s="5">
        <f t="shared" si="34"/>
        <v>36.545454545454547</v>
      </c>
      <c r="M718" s="7">
        <f t="shared" si="35"/>
        <v>45426</v>
      </c>
      <c r="N718" s="7"/>
      <c r="O718" s="7"/>
    </row>
    <row r="719" spans="1:15" x14ac:dyDescent="0.25">
      <c r="A719" t="s">
        <v>727</v>
      </c>
      <c r="B719" t="s">
        <v>11</v>
      </c>
      <c r="C719" t="s">
        <v>20</v>
      </c>
      <c r="D719">
        <v>11</v>
      </c>
      <c r="E719">
        <v>30000</v>
      </c>
      <c r="F719">
        <v>-45.675857367941902</v>
      </c>
      <c r="G719">
        <v>54.749801697099102</v>
      </c>
      <c r="H719">
        <v>2794</v>
      </c>
      <c r="I719">
        <v>402</v>
      </c>
      <c r="J719">
        <v>113</v>
      </c>
      <c r="K719" t="str">
        <f t="shared" si="33"/>
        <v>Los Angeles → Dubai</v>
      </c>
      <c r="L719" s="5">
        <f t="shared" si="34"/>
        <v>36.545454545454547</v>
      </c>
      <c r="M719" s="7">
        <f t="shared" si="35"/>
        <v>45426</v>
      </c>
      <c r="N719" s="7"/>
      <c r="O719" s="7"/>
    </row>
    <row r="720" spans="1:15" x14ac:dyDescent="0.25">
      <c r="A720" t="s">
        <v>728</v>
      </c>
      <c r="B720" t="s">
        <v>11</v>
      </c>
      <c r="C720" t="s">
        <v>13</v>
      </c>
      <c r="D720">
        <v>7</v>
      </c>
      <c r="E720">
        <v>35000</v>
      </c>
      <c r="F720">
        <v>159.009115196891</v>
      </c>
      <c r="G720">
        <v>65.956173037146002</v>
      </c>
      <c r="H720">
        <v>3000</v>
      </c>
      <c r="I720">
        <v>150</v>
      </c>
      <c r="J720">
        <v>200</v>
      </c>
      <c r="K720" t="str">
        <f t="shared" si="33"/>
        <v>Los Angeles → Paris</v>
      </c>
      <c r="L720" s="5">
        <f t="shared" si="34"/>
        <v>21.428571428571427</v>
      </c>
      <c r="M720" s="7">
        <f t="shared" si="35"/>
        <v>30000</v>
      </c>
      <c r="N720" s="7"/>
      <c r="O720" s="7"/>
    </row>
    <row r="721" spans="1:15" x14ac:dyDescent="0.25">
      <c r="A721" t="s">
        <v>729</v>
      </c>
      <c r="B721" t="s">
        <v>11</v>
      </c>
      <c r="C721" t="s">
        <v>9</v>
      </c>
      <c r="D721">
        <v>5</v>
      </c>
      <c r="E721">
        <v>30000</v>
      </c>
      <c r="F721">
        <v>-119.751468394759</v>
      </c>
      <c r="G721">
        <v>-79.268881437961397</v>
      </c>
      <c r="H721">
        <v>2000</v>
      </c>
      <c r="I721">
        <v>356</v>
      </c>
      <c r="J721">
        <v>150</v>
      </c>
      <c r="K721" t="str">
        <f t="shared" si="33"/>
        <v>Los Angeles → Sydney</v>
      </c>
      <c r="L721" s="5">
        <f t="shared" si="34"/>
        <v>71.2</v>
      </c>
      <c r="M721" s="7">
        <f t="shared" si="35"/>
        <v>53400</v>
      </c>
      <c r="N721" s="7"/>
      <c r="O721" s="7"/>
    </row>
    <row r="722" spans="1:15" x14ac:dyDescent="0.25">
      <c r="A722" t="s">
        <v>730</v>
      </c>
      <c r="B722" t="s">
        <v>6</v>
      </c>
      <c r="C722" t="s">
        <v>2</v>
      </c>
      <c r="D722">
        <v>7</v>
      </c>
      <c r="E722">
        <v>32000</v>
      </c>
      <c r="F722">
        <v>0.12940063760183301</v>
      </c>
      <c r="G722">
        <v>34.569099547154103</v>
      </c>
      <c r="H722">
        <v>3500</v>
      </c>
      <c r="I722">
        <v>300</v>
      </c>
      <c r="J722">
        <v>100</v>
      </c>
      <c r="K722" t="str">
        <f t="shared" si="33"/>
        <v>Chicago → Tokyo</v>
      </c>
      <c r="L722" s="5">
        <f t="shared" si="34"/>
        <v>42.857142857142854</v>
      </c>
      <c r="M722" s="7">
        <f t="shared" si="35"/>
        <v>30000</v>
      </c>
      <c r="N722" s="7"/>
      <c r="O722" s="7"/>
    </row>
    <row r="723" spans="1:15" x14ac:dyDescent="0.25">
      <c r="A723" t="s">
        <v>731</v>
      </c>
      <c r="B723" t="s">
        <v>6</v>
      </c>
      <c r="C723" t="s">
        <v>20</v>
      </c>
      <c r="D723">
        <v>10</v>
      </c>
      <c r="E723">
        <v>30000</v>
      </c>
      <c r="F723">
        <v>68.718231558296196</v>
      </c>
      <c r="G723">
        <v>-64.802272190082704</v>
      </c>
      <c r="H723">
        <v>2636</v>
      </c>
      <c r="I723">
        <v>402</v>
      </c>
      <c r="J723">
        <v>114</v>
      </c>
      <c r="K723" t="str">
        <f t="shared" si="33"/>
        <v>Chicago → Dubai</v>
      </c>
      <c r="L723" s="5">
        <f t="shared" si="34"/>
        <v>40.200000000000003</v>
      </c>
      <c r="M723" s="7">
        <f t="shared" si="35"/>
        <v>45828</v>
      </c>
      <c r="N723" s="7"/>
      <c r="O723" s="7"/>
    </row>
    <row r="724" spans="1:15" x14ac:dyDescent="0.25">
      <c r="A724" t="s">
        <v>732</v>
      </c>
      <c r="B724" t="s">
        <v>11</v>
      </c>
      <c r="C724" t="s">
        <v>9</v>
      </c>
      <c r="D724">
        <v>8</v>
      </c>
      <c r="E724">
        <v>30000</v>
      </c>
      <c r="F724">
        <v>70.968890121051302</v>
      </c>
      <c r="G724">
        <v>-15.152657756686001</v>
      </c>
      <c r="H724">
        <v>3000</v>
      </c>
      <c r="I724">
        <v>356</v>
      </c>
      <c r="J724">
        <v>145</v>
      </c>
      <c r="K724" t="str">
        <f t="shared" si="33"/>
        <v>Los Angeles → Sydney</v>
      </c>
      <c r="L724" s="5">
        <f t="shared" si="34"/>
        <v>44.5</v>
      </c>
      <c r="M724" s="7">
        <f t="shared" si="35"/>
        <v>51620</v>
      </c>
      <c r="N724" s="7"/>
      <c r="O724" s="7"/>
    </row>
    <row r="725" spans="1:15" x14ac:dyDescent="0.25">
      <c r="A725" t="s">
        <v>733</v>
      </c>
      <c r="B725" t="s">
        <v>1</v>
      </c>
      <c r="C725" t="s">
        <v>13</v>
      </c>
      <c r="D725">
        <v>7</v>
      </c>
      <c r="E725">
        <v>35000</v>
      </c>
      <c r="F725">
        <v>53.510024436773598</v>
      </c>
      <c r="G725">
        <v>8.7459147098439303</v>
      </c>
      <c r="H725">
        <v>2500</v>
      </c>
      <c r="I725">
        <v>150</v>
      </c>
      <c r="J725">
        <v>113</v>
      </c>
      <c r="K725" t="str">
        <f t="shared" si="33"/>
        <v>Houston → Paris</v>
      </c>
      <c r="L725" s="5">
        <f t="shared" si="34"/>
        <v>21.428571428571427</v>
      </c>
      <c r="M725" s="7">
        <f t="shared" si="35"/>
        <v>16950</v>
      </c>
      <c r="N725" s="7"/>
      <c r="O725" s="7"/>
    </row>
    <row r="726" spans="1:15" x14ac:dyDescent="0.25">
      <c r="A726" t="s">
        <v>734</v>
      </c>
      <c r="B726" t="s">
        <v>28</v>
      </c>
      <c r="C726" t="s">
        <v>9</v>
      </c>
      <c r="D726">
        <v>9</v>
      </c>
      <c r="E726">
        <v>32000</v>
      </c>
      <c r="F726">
        <v>-80.896243157330304</v>
      </c>
      <c r="G726">
        <v>-17.5068927455705</v>
      </c>
      <c r="H726">
        <v>2000</v>
      </c>
      <c r="I726">
        <v>150</v>
      </c>
      <c r="J726">
        <v>50</v>
      </c>
      <c r="K726" t="str">
        <f t="shared" si="33"/>
        <v>New York → Sydney</v>
      </c>
      <c r="L726" s="5">
        <f t="shared" si="34"/>
        <v>16.666666666666668</v>
      </c>
      <c r="M726" s="7">
        <f t="shared" si="35"/>
        <v>7500</v>
      </c>
      <c r="N726" s="7"/>
      <c r="O726" s="7"/>
    </row>
    <row r="727" spans="1:15" x14ac:dyDescent="0.25">
      <c r="A727" t="s">
        <v>735</v>
      </c>
      <c r="B727" t="s">
        <v>28</v>
      </c>
      <c r="C727" t="s">
        <v>15</v>
      </c>
      <c r="D727">
        <v>5</v>
      </c>
      <c r="E727">
        <v>32000</v>
      </c>
      <c r="F727">
        <v>-123.765635272816</v>
      </c>
      <c r="G727">
        <v>3.5301016445413498</v>
      </c>
      <c r="H727">
        <v>2000</v>
      </c>
      <c r="I727">
        <v>450</v>
      </c>
      <c r="J727">
        <v>150</v>
      </c>
      <c r="K727" t="str">
        <f t="shared" si="33"/>
        <v>New York → London</v>
      </c>
      <c r="L727" s="5">
        <f t="shared" si="34"/>
        <v>90</v>
      </c>
      <c r="M727" s="7">
        <f t="shared" si="35"/>
        <v>67500</v>
      </c>
      <c r="N727" s="7"/>
      <c r="O727" s="7"/>
    </row>
    <row r="728" spans="1:15" x14ac:dyDescent="0.25">
      <c r="A728" t="s">
        <v>736</v>
      </c>
      <c r="B728" t="s">
        <v>1</v>
      </c>
      <c r="C728" t="s">
        <v>20</v>
      </c>
      <c r="D728">
        <v>7</v>
      </c>
      <c r="E728">
        <v>32000</v>
      </c>
      <c r="F728">
        <v>48.938517657615897</v>
      </c>
      <c r="G728">
        <v>89.374735583751502</v>
      </c>
      <c r="H728">
        <v>2500</v>
      </c>
      <c r="I728">
        <v>600</v>
      </c>
      <c r="J728">
        <v>100</v>
      </c>
      <c r="K728" t="str">
        <f t="shared" si="33"/>
        <v>Houston → Dubai</v>
      </c>
      <c r="L728" s="5">
        <f t="shared" si="34"/>
        <v>85.714285714285708</v>
      </c>
      <c r="M728" s="7">
        <f t="shared" si="35"/>
        <v>60000</v>
      </c>
      <c r="N728" s="7"/>
      <c r="O728" s="7"/>
    </row>
    <row r="729" spans="1:15" x14ac:dyDescent="0.25">
      <c r="A729" t="s">
        <v>737</v>
      </c>
      <c r="B729" t="s">
        <v>11</v>
      </c>
      <c r="C729" t="s">
        <v>13</v>
      </c>
      <c r="D729">
        <v>7</v>
      </c>
      <c r="E729">
        <v>30000</v>
      </c>
      <c r="F729">
        <v>35.7487618101976</v>
      </c>
      <c r="G729">
        <v>-65.660883531686196</v>
      </c>
      <c r="H729">
        <v>3000</v>
      </c>
      <c r="I729">
        <v>150</v>
      </c>
      <c r="J729">
        <v>150</v>
      </c>
      <c r="K729" t="str">
        <f t="shared" si="33"/>
        <v>Los Angeles → Paris</v>
      </c>
      <c r="L729" s="5">
        <f t="shared" si="34"/>
        <v>21.428571428571427</v>
      </c>
      <c r="M729" s="7">
        <f t="shared" si="35"/>
        <v>22500</v>
      </c>
      <c r="N729" s="7"/>
      <c r="O729" s="7"/>
    </row>
    <row r="730" spans="1:15" x14ac:dyDescent="0.25">
      <c r="A730" t="s">
        <v>738</v>
      </c>
      <c r="B730" t="s">
        <v>6</v>
      </c>
      <c r="C730" t="s">
        <v>2</v>
      </c>
      <c r="D730">
        <v>8</v>
      </c>
      <c r="E730">
        <v>30000</v>
      </c>
      <c r="F730">
        <v>-115.431836295873</v>
      </c>
      <c r="G730">
        <v>31.582088160556602</v>
      </c>
      <c r="H730">
        <v>2583</v>
      </c>
      <c r="I730">
        <v>397</v>
      </c>
      <c r="J730">
        <v>133</v>
      </c>
      <c r="K730" t="str">
        <f t="shared" si="33"/>
        <v>Chicago → Tokyo</v>
      </c>
      <c r="L730" s="5">
        <f t="shared" si="34"/>
        <v>49.625</v>
      </c>
      <c r="M730" s="7">
        <f t="shared" si="35"/>
        <v>52801</v>
      </c>
      <c r="N730" s="7"/>
      <c r="O730" s="7"/>
    </row>
    <row r="731" spans="1:15" x14ac:dyDescent="0.25">
      <c r="A731" t="s">
        <v>739</v>
      </c>
      <c r="B731" t="s">
        <v>28</v>
      </c>
      <c r="C731" t="s">
        <v>13</v>
      </c>
      <c r="D731">
        <v>9</v>
      </c>
      <c r="E731">
        <v>35000</v>
      </c>
      <c r="F731">
        <v>73.850092405402805</v>
      </c>
      <c r="G731">
        <v>-18.719826050589301</v>
      </c>
      <c r="H731">
        <v>3500</v>
      </c>
      <c r="I731">
        <v>150</v>
      </c>
      <c r="J731">
        <v>50</v>
      </c>
      <c r="K731" t="str">
        <f t="shared" si="33"/>
        <v>New York → Paris</v>
      </c>
      <c r="L731" s="5">
        <f t="shared" si="34"/>
        <v>16.666666666666668</v>
      </c>
      <c r="M731" s="7">
        <f t="shared" si="35"/>
        <v>7500</v>
      </c>
      <c r="N731" s="7"/>
      <c r="O731" s="7"/>
    </row>
    <row r="732" spans="1:15" x14ac:dyDescent="0.25">
      <c r="A732" t="s">
        <v>740</v>
      </c>
      <c r="B732" t="s">
        <v>4</v>
      </c>
      <c r="C732" t="s">
        <v>2</v>
      </c>
      <c r="D732">
        <v>15</v>
      </c>
      <c r="E732">
        <v>35000</v>
      </c>
      <c r="F732">
        <v>-16.138082975883702</v>
      </c>
      <c r="G732">
        <v>-66.058236196680795</v>
      </c>
      <c r="H732">
        <v>3500</v>
      </c>
      <c r="I732">
        <v>600</v>
      </c>
      <c r="J732">
        <v>150</v>
      </c>
      <c r="K732" t="str">
        <f t="shared" si="33"/>
        <v>Miami → Tokyo</v>
      </c>
      <c r="L732" s="5">
        <f t="shared" si="34"/>
        <v>40</v>
      </c>
      <c r="M732" s="7">
        <f t="shared" si="35"/>
        <v>90000</v>
      </c>
      <c r="N732" s="7"/>
      <c r="O732" s="7"/>
    </row>
    <row r="733" spans="1:15" x14ac:dyDescent="0.25">
      <c r="A733" t="s">
        <v>741</v>
      </c>
      <c r="B733" t="s">
        <v>4</v>
      </c>
      <c r="C733" t="s">
        <v>13</v>
      </c>
      <c r="D733">
        <v>8</v>
      </c>
      <c r="E733">
        <v>30000</v>
      </c>
      <c r="F733">
        <v>60.393812977134999</v>
      </c>
      <c r="G733">
        <v>-61.427382592624298</v>
      </c>
      <c r="H733">
        <v>2718</v>
      </c>
      <c r="I733">
        <v>354</v>
      </c>
      <c r="J733">
        <v>115</v>
      </c>
      <c r="K733" t="str">
        <f t="shared" si="33"/>
        <v>Miami → Paris</v>
      </c>
      <c r="L733" s="5">
        <f t="shared" si="34"/>
        <v>44.25</v>
      </c>
      <c r="M733" s="7">
        <f t="shared" si="35"/>
        <v>40710</v>
      </c>
      <c r="N733" s="7"/>
      <c r="O733" s="7"/>
    </row>
    <row r="734" spans="1:15" x14ac:dyDescent="0.25">
      <c r="A734" t="s">
        <v>742</v>
      </c>
      <c r="B734" t="s">
        <v>1</v>
      </c>
      <c r="C734" t="s">
        <v>9</v>
      </c>
      <c r="D734">
        <v>12</v>
      </c>
      <c r="E734">
        <v>30000</v>
      </c>
      <c r="F734">
        <v>121.452148717254</v>
      </c>
      <c r="G734">
        <v>80.869159124211095</v>
      </c>
      <c r="H734">
        <v>2000</v>
      </c>
      <c r="I734">
        <v>356</v>
      </c>
      <c r="J734">
        <v>100</v>
      </c>
      <c r="K734" t="str">
        <f t="shared" si="33"/>
        <v>Houston → Sydney</v>
      </c>
      <c r="L734" s="5">
        <f t="shared" si="34"/>
        <v>29.666666666666668</v>
      </c>
      <c r="M734" s="7">
        <f t="shared" si="35"/>
        <v>35600</v>
      </c>
      <c r="N734" s="7"/>
      <c r="O734" s="7"/>
    </row>
    <row r="735" spans="1:15" x14ac:dyDescent="0.25">
      <c r="A735" t="s">
        <v>743</v>
      </c>
      <c r="B735" t="s">
        <v>11</v>
      </c>
      <c r="C735" t="s">
        <v>9</v>
      </c>
      <c r="D735">
        <v>8</v>
      </c>
      <c r="E735">
        <v>30000</v>
      </c>
      <c r="F735">
        <v>-118.897765712308</v>
      </c>
      <c r="G735">
        <v>68.328269408117194</v>
      </c>
      <c r="H735">
        <v>3500</v>
      </c>
      <c r="I735">
        <v>450</v>
      </c>
      <c r="J735">
        <v>200</v>
      </c>
      <c r="K735" t="str">
        <f t="shared" si="33"/>
        <v>Los Angeles → Sydney</v>
      </c>
      <c r="L735" s="5">
        <f t="shared" si="34"/>
        <v>56.25</v>
      </c>
      <c r="M735" s="7">
        <f t="shared" si="35"/>
        <v>90000</v>
      </c>
      <c r="N735" s="7"/>
      <c r="O735" s="7"/>
    </row>
    <row r="736" spans="1:15" x14ac:dyDescent="0.25">
      <c r="A736" t="s">
        <v>744</v>
      </c>
      <c r="B736" t="s">
        <v>28</v>
      </c>
      <c r="C736" t="s">
        <v>9</v>
      </c>
      <c r="D736">
        <v>9</v>
      </c>
      <c r="E736">
        <v>30000</v>
      </c>
      <c r="F736">
        <v>-173.10784752113901</v>
      </c>
      <c r="G736">
        <v>73.267552874703895</v>
      </c>
      <c r="H736">
        <v>2800</v>
      </c>
      <c r="I736">
        <v>356</v>
      </c>
      <c r="J736">
        <v>120</v>
      </c>
      <c r="K736" t="str">
        <f t="shared" si="33"/>
        <v>New York → Sydney</v>
      </c>
      <c r="L736" s="5">
        <f t="shared" si="34"/>
        <v>39.555555555555557</v>
      </c>
      <c r="M736" s="7">
        <f t="shared" si="35"/>
        <v>42720</v>
      </c>
      <c r="N736" s="7"/>
      <c r="O736" s="7"/>
    </row>
    <row r="737" spans="1:15" x14ac:dyDescent="0.25">
      <c r="A737" t="s">
        <v>745</v>
      </c>
      <c r="B737" t="s">
        <v>11</v>
      </c>
      <c r="C737" t="s">
        <v>15</v>
      </c>
      <c r="D737">
        <v>9</v>
      </c>
      <c r="E737">
        <v>30000</v>
      </c>
      <c r="F737">
        <v>100.47693110248299</v>
      </c>
      <c r="G737">
        <v>88.475899648929598</v>
      </c>
      <c r="H737">
        <v>2760</v>
      </c>
      <c r="I737">
        <v>150</v>
      </c>
      <c r="J737">
        <v>50</v>
      </c>
      <c r="K737" t="str">
        <f t="shared" si="33"/>
        <v>Los Angeles → London</v>
      </c>
      <c r="L737" s="5">
        <f t="shared" si="34"/>
        <v>16.666666666666668</v>
      </c>
      <c r="M737" s="7">
        <f t="shared" si="35"/>
        <v>7500</v>
      </c>
      <c r="N737" s="7"/>
      <c r="O737" s="7"/>
    </row>
    <row r="738" spans="1:15" x14ac:dyDescent="0.25">
      <c r="A738" t="s">
        <v>746</v>
      </c>
      <c r="B738" t="s">
        <v>28</v>
      </c>
      <c r="C738" t="s">
        <v>2</v>
      </c>
      <c r="D738">
        <v>7</v>
      </c>
      <c r="E738">
        <v>35000</v>
      </c>
      <c r="F738">
        <v>39.491073054941801</v>
      </c>
      <c r="G738">
        <v>-52.503229798466798</v>
      </c>
      <c r="H738">
        <v>2500</v>
      </c>
      <c r="I738">
        <v>150</v>
      </c>
      <c r="J738">
        <v>100</v>
      </c>
      <c r="K738" t="str">
        <f t="shared" si="33"/>
        <v>New York → Tokyo</v>
      </c>
      <c r="L738" s="5">
        <f t="shared" si="34"/>
        <v>21.428571428571427</v>
      </c>
      <c r="M738" s="7">
        <f t="shared" si="35"/>
        <v>15000</v>
      </c>
      <c r="N738" s="7"/>
      <c r="O738" s="7"/>
    </row>
    <row r="739" spans="1:15" x14ac:dyDescent="0.25">
      <c r="A739" t="s">
        <v>747</v>
      </c>
      <c r="B739" t="s">
        <v>1</v>
      </c>
      <c r="C739" t="s">
        <v>9</v>
      </c>
      <c r="D739">
        <v>9</v>
      </c>
      <c r="E739">
        <v>30000</v>
      </c>
      <c r="F739">
        <v>71.870245063963793</v>
      </c>
      <c r="G739">
        <v>-26.020919274468898</v>
      </c>
      <c r="H739">
        <v>2500</v>
      </c>
      <c r="I739">
        <v>356</v>
      </c>
      <c r="J739">
        <v>127</v>
      </c>
      <c r="K739" t="str">
        <f t="shared" si="33"/>
        <v>Houston → Sydney</v>
      </c>
      <c r="L739" s="5">
        <f t="shared" si="34"/>
        <v>39.555555555555557</v>
      </c>
      <c r="M739" s="7">
        <f t="shared" si="35"/>
        <v>45212</v>
      </c>
      <c r="N739" s="7"/>
      <c r="O739" s="7"/>
    </row>
    <row r="740" spans="1:15" x14ac:dyDescent="0.25">
      <c r="A740" t="s">
        <v>748</v>
      </c>
      <c r="B740" t="s">
        <v>1</v>
      </c>
      <c r="C740" t="s">
        <v>15</v>
      </c>
      <c r="D740">
        <v>9</v>
      </c>
      <c r="E740">
        <v>32000</v>
      </c>
      <c r="F740">
        <v>121.735790995911</v>
      </c>
      <c r="G740">
        <v>30.459425386475999</v>
      </c>
      <c r="H740">
        <v>2846</v>
      </c>
      <c r="I740">
        <v>374</v>
      </c>
      <c r="J740">
        <v>100</v>
      </c>
      <c r="K740" t="str">
        <f t="shared" si="33"/>
        <v>Houston → London</v>
      </c>
      <c r="L740" s="5">
        <f t="shared" si="34"/>
        <v>41.555555555555557</v>
      </c>
      <c r="M740" s="7">
        <f t="shared" si="35"/>
        <v>37400</v>
      </c>
      <c r="N740" s="7"/>
      <c r="O740" s="7"/>
    </row>
    <row r="741" spans="1:15" x14ac:dyDescent="0.25">
      <c r="A741" t="s">
        <v>749</v>
      </c>
      <c r="B741" t="s">
        <v>4</v>
      </c>
      <c r="C741" t="s">
        <v>2</v>
      </c>
      <c r="D741">
        <v>5</v>
      </c>
      <c r="E741">
        <v>30000</v>
      </c>
      <c r="F741">
        <v>109.01193653682</v>
      </c>
      <c r="G741">
        <v>-2.9155428250834898</v>
      </c>
      <c r="H741">
        <v>3000</v>
      </c>
      <c r="I741">
        <v>300</v>
      </c>
      <c r="J741">
        <v>100</v>
      </c>
      <c r="K741" t="str">
        <f t="shared" si="33"/>
        <v>Miami → Tokyo</v>
      </c>
      <c r="L741" s="5">
        <f t="shared" si="34"/>
        <v>60</v>
      </c>
      <c r="M741" s="7">
        <f t="shared" si="35"/>
        <v>30000</v>
      </c>
      <c r="N741" s="7"/>
      <c r="O741" s="7"/>
    </row>
    <row r="742" spans="1:15" x14ac:dyDescent="0.25">
      <c r="A742" t="s">
        <v>750</v>
      </c>
      <c r="B742" t="s">
        <v>11</v>
      </c>
      <c r="C742" t="s">
        <v>13</v>
      </c>
      <c r="D742">
        <v>8</v>
      </c>
      <c r="E742">
        <v>30000</v>
      </c>
      <c r="F742">
        <v>165.931252894377</v>
      </c>
      <c r="G742">
        <v>-14.6898839919</v>
      </c>
      <c r="H742">
        <v>2882</v>
      </c>
      <c r="I742">
        <v>354</v>
      </c>
      <c r="J742">
        <v>125</v>
      </c>
      <c r="K742" t="str">
        <f t="shared" si="33"/>
        <v>Los Angeles → Paris</v>
      </c>
      <c r="L742" s="5">
        <f t="shared" si="34"/>
        <v>44.25</v>
      </c>
      <c r="M742" s="7">
        <f t="shared" si="35"/>
        <v>44250</v>
      </c>
      <c r="N742" s="7"/>
      <c r="O742" s="7"/>
    </row>
    <row r="743" spans="1:15" x14ac:dyDescent="0.25">
      <c r="A743" t="s">
        <v>751</v>
      </c>
      <c r="B743" t="s">
        <v>4</v>
      </c>
      <c r="C743" t="s">
        <v>15</v>
      </c>
      <c r="D743">
        <v>8</v>
      </c>
      <c r="E743">
        <v>30000</v>
      </c>
      <c r="F743">
        <v>12.9366283867625</v>
      </c>
      <c r="G743">
        <v>-25.5939751195932</v>
      </c>
      <c r="H743">
        <v>2615</v>
      </c>
      <c r="I743">
        <v>374</v>
      </c>
      <c r="J743">
        <v>121</v>
      </c>
      <c r="K743" t="str">
        <f t="shared" si="33"/>
        <v>Miami → London</v>
      </c>
      <c r="L743" s="5">
        <f t="shared" si="34"/>
        <v>46.75</v>
      </c>
      <c r="M743" s="7">
        <f t="shared" si="35"/>
        <v>45254</v>
      </c>
      <c r="N743" s="7"/>
      <c r="O743" s="7"/>
    </row>
    <row r="744" spans="1:15" x14ac:dyDescent="0.25">
      <c r="A744" t="s">
        <v>752</v>
      </c>
      <c r="B744" t="s">
        <v>11</v>
      </c>
      <c r="C744" t="s">
        <v>20</v>
      </c>
      <c r="D744">
        <v>7</v>
      </c>
      <c r="E744">
        <v>30000</v>
      </c>
      <c r="F744">
        <v>-4.14157224243408</v>
      </c>
      <c r="G744">
        <v>16.8805137498214</v>
      </c>
      <c r="H744">
        <v>2794</v>
      </c>
      <c r="I744">
        <v>150</v>
      </c>
      <c r="J744">
        <v>150</v>
      </c>
      <c r="K744" t="str">
        <f t="shared" si="33"/>
        <v>Los Angeles → Dubai</v>
      </c>
      <c r="L744" s="5">
        <f t="shared" si="34"/>
        <v>21.428571428571427</v>
      </c>
      <c r="M744" s="7">
        <f t="shared" si="35"/>
        <v>22500</v>
      </c>
      <c r="N744" s="7"/>
      <c r="O744" s="7"/>
    </row>
    <row r="745" spans="1:15" x14ac:dyDescent="0.25">
      <c r="A745" t="s">
        <v>753</v>
      </c>
      <c r="B745" t="s">
        <v>4</v>
      </c>
      <c r="C745" t="s">
        <v>15</v>
      </c>
      <c r="D745">
        <v>12</v>
      </c>
      <c r="E745">
        <v>32000</v>
      </c>
      <c r="F745">
        <v>-35.320608039337202</v>
      </c>
      <c r="G745">
        <v>13.606817155214801</v>
      </c>
      <c r="H745">
        <v>3000</v>
      </c>
      <c r="I745">
        <v>300</v>
      </c>
      <c r="J745">
        <v>200</v>
      </c>
      <c r="K745" t="str">
        <f t="shared" si="33"/>
        <v>Miami → London</v>
      </c>
      <c r="L745" s="5">
        <f t="shared" si="34"/>
        <v>25</v>
      </c>
      <c r="M745" s="7">
        <f t="shared" si="35"/>
        <v>60000</v>
      </c>
      <c r="N745" s="7"/>
      <c r="O745" s="7"/>
    </row>
    <row r="746" spans="1:15" x14ac:dyDescent="0.25">
      <c r="A746" t="s">
        <v>754</v>
      </c>
      <c r="B746" t="s">
        <v>6</v>
      </c>
      <c r="C746" t="s">
        <v>15</v>
      </c>
      <c r="D746">
        <v>9</v>
      </c>
      <c r="E746">
        <v>32000</v>
      </c>
      <c r="F746">
        <v>-124.671224576086</v>
      </c>
      <c r="G746">
        <v>-60.937589868436802</v>
      </c>
      <c r="H746">
        <v>2500</v>
      </c>
      <c r="I746">
        <v>300</v>
      </c>
      <c r="J746">
        <v>150</v>
      </c>
      <c r="K746" t="str">
        <f t="shared" si="33"/>
        <v>Chicago → London</v>
      </c>
      <c r="L746" s="5">
        <f t="shared" si="34"/>
        <v>33.333333333333336</v>
      </c>
      <c r="M746" s="7">
        <f t="shared" si="35"/>
        <v>45000</v>
      </c>
      <c r="N746" s="7"/>
      <c r="O746" s="7"/>
    </row>
    <row r="747" spans="1:15" x14ac:dyDescent="0.25">
      <c r="A747" t="s">
        <v>755</v>
      </c>
      <c r="B747" t="s">
        <v>6</v>
      </c>
      <c r="C747" t="s">
        <v>2</v>
      </c>
      <c r="D747">
        <v>8</v>
      </c>
      <c r="E747">
        <v>30000</v>
      </c>
      <c r="F747">
        <v>26.138603837528098</v>
      </c>
      <c r="G747">
        <v>-5.0868292466809599</v>
      </c>
      <c r="H747">
        <v>2583</v>
      </c>
      <c r="I747">
        <v>397</v>
      </c>
      <c r="J747">
        <v>133</v>
      </c>
      <c r="K747" t="str">
        <f t="shared" si="33"/>
        <v>Chicago → Tokyo</v>
      </c>
      <c r="L747" s="5">
        <f t="shared" si="34"/>
        <v>49.625</v>
      </c>
      <c r="M747" s="7">
        <f t="shared" si="35"/>
        <v>52801</v>
      </c>
      <c r="N747" s="7"/>
      <c r="O747" s="7"/>
    </row>
    <row r="748" spans="1:15" x14ac:dyDescent="0.25">
      <c r="A748" t="s">
        <v>756</v>
      </c>
      <c r="B748" t="s">
        <v>6</v>
      </c>
      <c r="C748" t="s">
        <v>13</v>
      </c>
      <c r="D748">
        <v>10</v>
      </c>
      <c r="E748">
        <v>35000</v>
      </c>
      <c r="F748">
        <v>-80.275491242647604</v>
      </c>
      <c r="G748">
        <v>9.6249197177729808</v>
      </c>
      <c r="H748">
        <v>3000</v>
      </c>
      <c r="I748">
        <v>354</v>
      </c>
      <c r="J748">
        <v>200</v>
      </c>
      <c r="K748" t="str">
        <f t="shared" si="33"/>
        <v>Chicago → Paris</v>
      </c>
      <c r="L748" s="5">
        <f t="shared" si="34"/>
        <v>35.4</v>
      </c>
      <c r="M748" s="7">
        <f t="shared" si="35"/>
        <v>70800</v>
      </c>
      <c r="N748" s="7"/>
      <c r="O748" s="7"/>
    </row>
    <row r="749" spans="1:15" x14ac:dyDescent="0.25">
      <c r="A749" t="s">
        <v>757</v>
      </c>
      <c r="B749" t="s">
        <v>6</v>
      </c>
      <c r="C749" t="s">
        <v>20</v>
      </c>
      <c r="D749">
        <v>15</v>
      </c>
      <c r="E749">
        <v>30000</v>
      </c>
      <c r="F749">
        <v>151.670704396671</v>
      </c>
      <c r="G749">
        <v>12.6516489716503</v>
      </c>
      <c r="H749">
        <v>2000</v>
      </c>
      <c r="I749">
        <v>300</v>
      </c>
      <c r="J749">
        <v>50</v>
      </c>
      <c r="K749" t="str">
        <f t="shared" si="33"/>
        <v>Chicago → Dubai</v>
      </c>
      <c r="L749" s="5">
        <f t="shared" si="34"/>
        <v>20</v>
      </c>
      <c r="M749" s="7">
        <f t="shared" si="35"/>
        <v>15000</v>
      </c>
      <c r="N749" s="7"/>
      <c r="O749" s="7"/>
    </row>
    <row r="750" spans="1:15" x14ac:dyDescent="0.25">
      <c r="A750" t="s">
        <v>758</v>
      </c>
      <c r="B750" t="s">
        <v>28</v>
      </c>
      <c r="C750" t="s">
        <v>9</v>
      </c>
      <c r="D750">
        <v>9</v>
      </c>
      <c r="E750">
        <v>32000</v>
      </c>
      <c r="F750">
        <v>29.948689539755101</v>
      </c>
      <c r="G750">
        <v>-52.180705275776702</v>
      </c>
      <c r="H750">
        <v>3000</v>
      </c>
      <c r="I750">
        <v>150</v>
      </c>
      <c r="J750">
        <v>200</v>
      </c>
      <c r="K750" t="str">
        <f t="shared" si="33"/>
        <v>New York → Sydney</v>
      </c>
      <c r="L750" s="5">
        <f t="shared" si="34"/>
        <v>16.666666666666668</v>
      </c>
      <c r="M750" s="7">
        <f t="shared" si="35"/>
        <v>30000</v>
      </c>
      <c r="N750" s="7"/>
      <c r="O750" s="7"/>
    </row>
    <row r="751" spans="1:15" x14ac:dyDescent="0.25">
      <c r="A751" t="s">
        <v>759</v>
      </c>
      <c r="B751" t="s">
        <v>6</v>
      </c>
      <c r="C751" t="s">
        <v>9</v>
      </c>
      <c r="D751">
        <v>9</v>
      </c>
      <c r="E751">
        <v>30000</v>
      </c>
      <c r="F751">
        <v>33.4224649829196</v>
      </c>
      <c r="G751">
        <v>43.608850605411597</v>
      </c>
      <c r="H751">
        <v>2678</v>
      </c>
      <c r="I751">
        <v>356</v>
      </c>
      <c r="J751">
        <v>137</v>
      </c>
      <c r="K751" t="str">
        <f t="shared" si="33"/>
        <v>Chicago → Sydney</v>
      </c>
      <c r="L751" s="5">
        <f t="shared" si="34"/>
        <v>39.555555555555557</v>
      </c>
      <c r="M751" s="7">
        <f t="shared" si="35"/>
        <v>48772</v>
      </c>
      <c r="N751" s="7"/>
      <c r="O751" s="7"/>
    </row>
    <row r="752" spans="1:15" x14ac:dyDescent="0.25">
      <c r="A752" t="s">
        <v>760</v>
      </c>
      <c r="B752" t="s">
        <v>1</v>
      </c>
      <c r="C752" t="s">
        <v>15</v>
      </c>
      <c r="D752">
        <v>12</v>
      </c>
      <c r="E752">
        <v>30000</v>
      </c>
      <c r="F752">
        <v>-52.227122084276402</v>
      </c>
      <c r="G752">
        <v>-85.4641629322075</v>
      </c>
      <c r="H752">
        <v>2846</v>
      </c>
      <c r="I752">
        <v>300</v>
      </c>
      <c r="J752">
        <v>150</v>
      </c>
      <c r="K752" t="str">
        <f t="shared" si="33"/>
        <v>Houston → London</v>
      </c>
      <c r="L752" s="5">
        <f t="shared" si="34"/>
        <v>25</v>
      </c>
      <c r="M752" s="7">
        <f t="shared" si="35"/>
        <v>45000</v>
      </c>
      <c r="N752" s="7"/>
      <c r="O752" s="7"/>
    </row>
    <row r="753" spans="1:15" x14ac:dyDescent="0.25">
      <c r="A753" t="s">
        <v>761</v>
      </c>
      <c r="B753" t="s">
        <v>1</v>
      </c>
      <c r="C753" t="s">
        <v>2</v>
      </c>
      <c r="D753">
        <v>10</v>
      </c>
      <c r="E753">
        <v>32000</v>
      </c>
      <c r="F753">
        <v>-161.28383328802499</v>
      </c>
      <c r="G753">
        <v>-26.130266002230702</v>
      </c>
      <c r="H753">
        <v>2550</v>
      </c>
      <c r="I753">
        <v>397</v>
      </c>
      <c r="J753">
        <v>50</v>
      </c>
      <c r="K753" t="str">
        <f t="shared" si="33"/>
        <v>Houston → Tokyo</v>
      </c>
      <c r="L753" s="5">
        <f t="shared" si="34"/>
        <v>39.700000000000003</v>
      </c>
      <c r="M753" s="7">
        <f t="shared" si="35"/>
        <v>19850</v>
      </c>
      <c r="N753" s="7"/>
      <c r="O753" s="7"/>
    </row>
    <row r="754" spans="1:15" x14ac:dyDescent="0.25">
      <c r="A754" t="s">
        <v>762</v>
      </c>
      <c r="B754" t="s">
        <v>28</v>
      </c>
      <c r="C754" t="s">
        <v>2</v>
      </c>
      <c r="D754">
        <v>9</v>
      </c>
      <c r="E754">
        <v>30000</v>
      </c>
      <c r="F754">
        <v>-168.572244465724</v>
      </c>
      <c r="G754">
        <v>50.438276736413997</v>
      </c>
      <c r="H754">
        <v>3500</v>
      </c>
      <c r="I754">
        <v>450</v>
      </c>
      <c r="J754">
        <v>128</v>
      </c>
      <c r="K754" t="str">
        <f t="shared" si="33"/>
        <v>New York → Tokyo</v>
      </c>
      <c r="L754" s="5">
        <f t="shared" si="34"/>
        <v>50</v>
      </c>
      <c r="M754" s="7">
        <f t="shared" si="35"/>
        <v>57600</v>
      </c>
      <c r="N754" s="7"/>
      <c r="O754" s="7"/>
    </row>
    <row r="755" spans="1:15" x14ac:dyDescent="0.25">
      <c r="A755" t="s">
        <v>763</v>
      </c>
      <c r="B755" t="s">
        <v>6</v>
      </c>
      <c r="C755" t="s">
        <v>9</v>
      </c>
      <c r="D755">
        <v>9</v>
      </c>
      <c r="E755">
        <v>30000</v>
      </c>
      <c r="F755">
        <v>-27.5993481048489</v>
      </c>
      <c r="G755">
        <v>11.5007257899724</v>
      </c>
      <c r="H755">
        <v>2678</v>
      </c>
      <c r="I755">
        <v>356</v>
      </c>
      <c r="J755">
        <v>137</v>
      </c>
      <c r="K755" t="str">
        <f t="shared" si="33"/>
        <v>Chicago → Sydney</v>
      </c>
      <c r="L755" s="5">
        <f t="shared" si="34"/>
        <v>39.555555555555557</v>
      </c>
      <c r="M755" s="7">
        <f t="shared" si="35"/>
        <v>48772</v>
      </c>
      <c r="N755" s="7"/>
      <c r="O755" s="7"/>
    </row>
    <row r="756" spans="1:15" x14ac:dyDescent="0.25">
      <c r="A756" t="s">
        <v>764</v>
      </c>
      <c r="B756" t="s">
        <v>6</v>
      </c>
      <c r="C756" t="s">
        <v>20</v>
      </c>
      <c r="D756">
        <v>5</v>
      </c>
      <c r="E756">
        <v>30000</v>
      </c>
      <c r="F756">
        <v>-149.556463884994</v>
      </c>
      <c r="G756">
        <v>-42.990762148045199</v>
      </c>
      <c r="H756">
        <v>3500</v>
      </c>
      <c r="I756">
        <v>450</v>
      </c>
      <c r="J756">
        <v>114</v>
      </c>
      <c r="K756" t="str">
        <f t="shared" si="33"/>
        <v>Chicago → Dubai</v>
      </c>
      <c r="L756" s="5">
        <f t="shared" si="34"/>
        <v>90</v>
      </c>
      <c r="M756" s="7">
        <f t="shared" si="35"/>
        <v>51300</v>
      </c>
      <c r="N756" s="7"/>
      <c r="O756" s="7"/>
    </row>
    <row r="757" spans="1:15" x14ac:dyDescent="0.25">
      <c r="A757" t="s">
        <v>765</v>
      </c>
      <c r="B757" t="s">
        <v>6</v>
      </c>
      <c r="C757" t="s">
        <v>13</v>
      </c>
      <c r="D757">
        <v>7</v>
      </c>
      <c r="E757">
        <v>30000</v>
      </c>
      <c r="F757">
        <v>38.464903994450097</v>
      </c>
      <c r="G757">
        <v>35.091561481748599</v>
      </c>
      <c r="H757">
        <v>2928</v>
      </c>
      <c r="I757">
        <v>600</v>
      </c>
      <c r="J757">
        <v>150</v>
      </c>
      <c r="K757" t="str">
        <f t="shared" si="33"/>
        <v>Chicago → Paris</v>
      </c>
      <c r="L757" s="5">
        <f t="shared" si="34"/>
        <v>85.714285714285708</v>
      </c>
      <c r="M757" s="7">
        <f t="shared" si="35"/>
        <v>90000</v>
      </c>
      <c r="N757" s="7"/>
      <c r="O757" s="7"/>
    </row>
    <row r="758" spans="1:15" x14ac:dyDescent="0.25">
      <c r="A758" t="s">
        <v>766</v>
      </c>
      <c r="B758" t="s">
        <v>4</v>
      </c>
      <c r="C758" t="s">
        <v>20</v>
      </c>
      <c r="D758">
        <v>12</v>
      </c>
      <c r="E758">
        <v>30000</v>
      </c>
      <c r="F758">
        <v>137.150282030277</v>
      </c>
      <c r="G758">
        <v>12.1303699480932</v>
      </c>
      <c r="H758">
        <v>2500</v>
      </c>
      <c r="I758">
        <v>300</v>
      </c>
      <c r="J758">
        <v>200</v>
      </c>
      <c r="K758" t="str">
        <f t="shared" si="33"/>
        <v>Miami → Dubai</v>
      </c>
      <c r="L758" s="5">
        <f t="shared" si="34"/>
        <v>25</v>
      </c>
      <c r="M758" s="7">
        <f t="shared" si="35"/>
        <v>60000</v>
      </c>
      <c r="N758" s="7"/>
      <c r="O758" s="7"/>
    </row>
    <row r="759" spans="1:15" x14ac:dyDescent="0.25">
      <c r="A759" t="s">
        <v>767</v>
      </c>
      <c r="B759" t="s">
        <v>11</v>
      </c>
      <c r="C759" t="s">
        <v>13</v>
      </c>
      <c r="D759">
        <v>8</v>
      </c>
      <c r="E759">
        <v>30000</v>
      </c>
      <c r="F759">
        <v>137.84933394673999</v>
      </c>
      <c r="G759">
        <v>53.323849702149701</v>
      </c>
      <c r="H759">
        <v>2882</v>
      </c>
      <c r="I759">
        <v>354</v>
      </c>
      <c r="J759">
        <v>125</v>
      </c>
      <c r="K759" t="str">
        <f t="shared" si="33"/>
        <v>Los Angeles → Paris</v>
      </c>
      <c r="L759" s="5">
        <f t="shared" si="34"/>
        <v>44.25</v>
      </c>
      <c r="M759" s="7">
        <f t="shared" si="35"/>
        <v>44250</v>
      </c>
      <c r="N759" s="7"/>
      <c r="O759" s="7"/>
    </row>
    <row r="760" spans="1:15" x14ac:dyDescent="0.25">
      <c r="A760" t="s">
        <v>768</v>
      </c>
      <c r="B760" t="s">
        <v>4</v>
      </c>
      <c r="C760" t="s">
        <v>9</v>
      </c>
      <c r="D760">
        <v>5</v>
      </c>
      <c r="E760">
        <v>35000</v>
      </c>
      <c r="F760">
        <v>57.256347647603697</v>
      </c>
      <c r="G760">
        <v>42.304533514168199</v>
      </c>
      <c r="H760">
        <v>3000</v>
      </c>
      <c r="I760">
        <v>356</v>
      </c>
      <c r="J760">
        <v>105</v>
      </c>
      <c r="K760" t="str">
        <f t="shared" si="33"/>
        <v>Miami → Sydney</v>
      </c>
      <c r="L760" s="5">
        <f t="shared" si="34"/>
        <v>71.2</v>
      </c>
      <c r="M760" s="7">
        <f t="shared" si="35"/>
        <v>37380</v>
      </c>
      <c r="N760" s="7"/>
      <c r="O760" s="7"/>
    </row>
    <row r="761" spans="1:15" x14ac:dyDescent="0.25">
      <c r="A761" t="s">
        <v>769</v>
      </c>
      <c r="B761" t="s">
        <v>11</v>
      </c>
      <c r="C761" t="s">
        <v>13</v>
      </c>
      <c r="D761">
        <v>7</v>
      </c>
      <c r="E761">
        <v>30000</v>
      </c>
      <c r="F761">
        <v>-103.956540669745</v>
      </c>
      <c r="G761">
        <v>19.8194259665222</v>
      </c>
      <c r="H761">
        <v>2882</v>
      </c>
      <c r="I761">
        <v>300</v>
      </c>
      <c r="J761">
        <v>150</v>
      </c>
      <c r="K761" t="str">
        <f t="shared" si="33"/>
        <v>Los Angeles → Paris</v>
      </c>
      <c r="L761" s="5">
        <f t="shared" si="34"/>
        <v>42.857142857142854</v>
      </c>
      <c r="M761" s="7">
        <f t="shared" si="35"/>
        <v>45000</v>
      </c>
      <c r="N761" s="7"/>
      <c r="O761" s="7"/>
    </row>
    <row r="762" spans="1:15" x14ac:dyDescent="0.25">
      <c r="A762" t="s">
        <v>770</v>
      </c>
      <c r="B762" t="s">
        <v>6</v>
      </c>
      <c r="C762" t="s">
        <v>2</v>
      </c>
      <c r="D762">
        <v>5</v>
      </c>
      <c r="E762">
        <v>30000</v>
      </c>
      <c r="F762">
        <v>130.67885928919401</v>
      </c>
      <c r="G762">
        <v>-2.1280184440534802</v>
      </c>
      <c r="H762">
        <v>2583</v>
      </c>
      <c r="I762">
        <v>150</v>
      </c>
      <c r="J762">
        <v>200</v>
      </c>
      <c r="K762" t="str">
        <f t="shared" si="33"/>
        <v>Chicago → Tokyo</v>
      </c>
      <c r="L762" s="5">
        <f t="shared" si="34"/>
        <v>30</v>
      </c>
      <c r="M762" s="7">
        <f t="shared" si="35"/>
        <v>30000</v>
      </c>
      <c r="N762" s="7"/>
      <c r="O762" s="7"/>
    </row>
    <row r="763" spans="1:15" x14ac:dyDescent="0.25">
      <c r="A763" t="s">
        <v>771</v>
      </c>
      <c r="B763" t="s">
        <v>6</v>
      </c>
      <c r="C763" t="s">
        <v>15</v>
      </c>
      <c r="D763">
        <v>9</v>
      </c>
      <c r="E763">
        <v>30000</v>
      </c>
      <c r="F763">
        <v>138.99363671275501</v>
      </c>
      <c r="G763">
        <v>-66.027217379845794</v>
      </c>
      <c r="H763">
        <v>2678</v>
      </c>
      <c r="I763">
        <v>374</v>
      </c>
      <c r="J763">
        <v>116</v>
      </c>
      <c r="K763" t="str">
        <f t="shared" si="33"/>
        <v>Chicago → London</v>
      </c>
      <c r="L763" s="5">
        <f t="shared" si="34"/>
        <v>41.555555555555557</v>
      </c>
      <c r="M763" s="7">
        <f t="shared" si="35"/>
        <v>43384</v>
      </c>
      <c r="N763" s="7"/>
      <c r="O763" s="7"/>
    </row>
    <row r="764" spans="1:15" x14ac:dyDescent="0.25">
      <c r="A764" t="s">
        <v>772</v>
      </c>
      <c r="B764" t="s">
        <v>4</v>
      </c>
      <c r="C764" t="s">
        <v>15</v>
      </c>
      <c r="D764">
        <v>9</v>
      </c>
      <c r="E764">
        <v>35000</v>
      </c>
      <c r="F764">
        <v>-109.204709416935</v>
      </c>
      <c r="G764">
        <v>-42.9600567806309</v>
      </c>
      <c r="H764">
        <v>2000</v>
      </c>
      <c r="I764">
        <v>450</v>
      </c>
      <c r="J764">
        <v>150</v>
      </c>
      <c r="K764" t="str">
        <f t="shared" si="33"/>
        <v>Miami → London</v>
      </c>
      <c r="L764" s="5">
        <f t="shared" si="34"/>
        <v>50</v>
      </c>
      <c r="M764" s="7">
        <f t="shared" si="35"/>
        <v>67500</v>
      </c>
      <c r="N764" s="7"/>
      <c r="O764" s="7"/>
    </row>
    <row r="765" spans="1:15" x14ac:dyDescent="0.25">
      <c r="A765" t="s">
        <v>773</v>
      </c>
      <c r="B765" t="s">
        <v>4</v>
      </c>
      <c r="C765" t="s">
        <v>9</v>
      </c>
      <c r="D765">
        <v>12</v>
      </c>
      <c r="E765">
        <v>30000</v>
      </c>
      <c r="F765">
        <v>85.473390877443805</v>
      </c>
      <c r="G765">
        <v>-14.5620948749247</v>
      </c>
      <c r="H765">
        <v>2000</v>
      </c>
      <c r="I765">
        <v>600</v>
      </c>
      <c r="J765">
        <v>200</v>
      </c>
      <c r="K765" t="str">
        <f t="shared" si="33"/>
        <v>Miami → Sydney</v>
      </c>
      <c r="L765" s="5">
        <f t="shared" si="34"/>
        <v>50</v>
      </c>
      <c r="M765" s="7">
        <f t="shared" si="35"/>
        <v>120000</v>
      </c>
      <c r="N765" s="7"/>
      <c r="O765" s="7"/>
    </row>
    <row r="766" spans="1:15" x14ac:dyDescent="0.25">
      <c r="A766" t="s">
        <v>774</v>
      </c>
      <c r="B766" t="s">
        <v>11</v>
      </c>
      <c r="C766" t="s">
        <v>2</v>
      </c>
      <c r="D766">
        <v>10</v>
      </c>
      <c r="E766">
        <v>30000</v>
      </c>
      <c r="F766">
        <v>-76.852962386235703</v>
      </c>
      <c r="G766">
        <v>17.873871661150002</v>
      </c>
      <c r="H766">
        <v>2586</v>
      </c>
      <c r="I766">
        <v>397</v>
      </c>
      <c r="J766">
        <v>119</v>
      </c>
      <c r="K766" t="str">
        <f t="shared" si="33"/>
        <v>Los Angeles → Tokyo</v>
      </c>
      <c r="L766" s="5">
        <f t="shared" si="34"/>
        <v>39.700000000000003</v>
      </c>
      <c r="M766" s="7">
        <f t="shared" si="35"/>
        <v>47243</v>
      </c>
      <c r="N766" s="7"/>
      <c r="O766" s="7"/>
    </row>
    <row r="767" spans="1:15" x14ac:dyDescent="0.25">
      <c r="A767" t="s">
        <v>775</v>
      </c>
      <c r="B767" t="s">
        <v>1</v>
      </c>
      <c r="C767" t="s">
        <v>20</v>
      </c>
      <c r="D767">
        <v>7</v>
      </c>
      <c r="E767">
        <v>32000</v>
      </c>
      <c r="F767">
        <v>108.950512447055</v>
      </c>
      <c r="G767">
        <v>2.4674139387548699</v>
      </c>
      <c r="H767">
        <v>2500</v>
      </c>
      <c r="I767">
        <v>450</v>
      </c>
      <c r="J767">
        <v>150</v>
      </c>
      <c r="K767" t="str">
        <f t="shared" si="33"/>
        <v>Houston → Dubai</v>
      </c>
      <c r="L767" s="5">
        <f t="shared" si="34"/>
        <v>64.285714285714292</v>
      </c>
      <c r="M767" s="7">
        <f t="shared" si="35"/>
        <v>67500</v>
      </c>
      <c r="N767" s="7"/>
      <c r="O767" s="7"/>
    </row>
    <row r="768" spans="1:15" x14ac:dyDescent="0.25">
      <c r="A768" t="s">
        <v>776</v>
      </c>
      <c r="B768" t="s">
        <v>11</v>
      </c>
      <c r="C768" t="s">
        <v>2</v>
      </c>
      <c r="D768">
        <v>12</v>
      </c>
      <c r="E768">
        <v>30000</v>
      </c>
      <c r="F768">
        <v>179.005643965297</v>
      </c>
      <c r="G768">
        <v>-38.126785327284701</v>
      </c>
      <c r="H768">
        <v>3000</v>
      </c>
      <c r="I768">
        <v>397</v>
      </c>
      <c r="J768">
        <v>119</v>
      </c>
      <c r="K768" t="str">
        <f t="shared" si="33"/>
        <v>Los Angeles → Tokyo</v>
      </c>
      <c r="L768" s="5">
        <f t="shared" si="34"/>
        <v>33.083333333333336</v>
      </c>
      <c r="M768" s="7">
        <f t="shared" si="35"/>
        <v>47243</v>
      </c>
      <c r="N768" s="7"/>
      <c r="O768" s="7"/>
    </row>
    <row r="769" spans="1:15" x14ac:dyDescent="0.25">
      <c r="A769" t="s">
        <v>777</v>
      </c>
      <c r="B769" t="s">
        <v>4</v>
      </c>
      <c r="C769" t="s">
        <v>15</v>
      </c>
      <c r="D769">
        <v>8</v>
      </c>
      <c r="E769">
        <v>30000</v>
      </c>
      <c r="F769">
        <v>-169.190638081419</v>
      </c>
      <c r="G769">
        <v>-88.836415597852096</v>
      </c>
      <c r="H769">
        <v>2615</v>
      </c>
      <c r="I769">
        <v>374</v>
      </c>
      <c r="J769">
        <v>121</v>
      </c>
      <c r="K769" t="str">
        <f t="shared" si="33"/>
        <v>Miami → London</v>
      </c>
      <c r="L769" s="5">
        <f t="shared" si="34"/>
        <v>46.75</v>
      </c>
      <c r="M769" s="7">
        <f t="shared" si="35"/>
        <v>45254</v>
      </c>
      <c r="N769" s="7"/>
      <c r="O769" s="7"/>
    </row>
    <row r="770" spans="1:15" x14ac:dyDescent="0.25">
      <c r="A770" t="s">
        <v>778</v>
      </c>
      <c r="B770" t="s">
        <v>4</v>
      </c>
      <c r="C770" t="s">
        <v>15</v>
      </c>
      <c r="D770">
        <v>8</v>
      </c>
      <c r="E770">
        <v>30000</v>
      </c>
      <c r="F770">
        <v>143.05171168473501</v>
      </c>
      <c r="G770">
        <v>-0.67694005785348599</v>
      </c>
      <c r="H770">
        <v>2500</v>
      </c>
      <c r="I770">
        <v>450</v>
      </c>
      <c r="J770">
        <v>200</v>
      </c>
      <c r="K770" t="str">
        <f t="shared" si="33"/>
        <v>Miami → London</v>
      </c>
      <c r="L770" s="5">
        <f t="shared" si="34"/>
        <v>56.25</v>
      </c>
      <c r="M770" s="7">
        <f t="shared" si="35"/>
        <v>90000</v>
      </c>
      <c r="N770" s="7"/>
      <c r="O770" s="7"/>
    </row>
    <row r="771" spans="1:15" x14ac:dyDescent="0.25">
      <c r="A771" t="s">
        <v>779</v>
      </c>
      <c r="B771" t="s">
        <v>28</v>
      </c>
      <c r="C771" t="s">
        <v>2</v>
      </c>
      <c r="D771">
        <v>12</v>
      </c>
      <c r="E771">
        <v>32000</v>
      </c>
      <c r="F771">
        <v>44.1469920955169</v>
      </c>
      <c r="G771">
        <v>-38.587322058796303</v>
      </c>
      <c r="H771">
        <v>2500</v>
      </c>
      <c r="I771">
        <v>450</v>
      </c>
      <c r="J771">
        <v>200</v>
      </c>
      <c r="K771" t="str">
        <f t="shared" ref="K771:K834" si="36">B771 &amp; " → " &amp; C771</f>
        <v>New York → Tokyo</v>
      </c>
      <c r="L771" s="5">
        <f t="shared" ref="L771:L834" si="37">I771/D771</f>
        <v>37.5</v>
      </c>
      <c r="M771" s="7">
        <f t="shared" ref="M771:M834" si="38">I771*J771</f>
        <v>90000</v>
      </c>
      <c r="N771" s="7"/>
      <c r="O771" s="7"/>
    </row>
    <row r="772" spans="1:15" x14ac:dyDescent="0.25">
      <c r="A772" t="s">
        <v>780</v>
      </c>
      <c r="B772" t="s">
        <v>4</v>
      </c>
      <c r="C772" t="s">
        <v>2</v>
      </c>
      <c r="D772">
        <v>5</v>
      </c>
      <c r="E772">
        <v>35000</v>
      </c>
      <c r="F772">
        <v>170.41774289933599</v>
      </c>
      <c r="G772">
        <v>42.229494127896302</v>
      </c>
      <c r="H772">
        <v>3000</v>
      </c>
      <c r="I772">
        <v>450</v>
      </c>
      <c r="J772">
        <v>200</v>
      </c>
      <c r="K772" t="str">
        <f t="shared" si="36"/>
        <v>Miami → Tokyo</v>
      </c>
      <c r="L772" s="5">
        <f t="shared" si="37"/>
        <v>90</v>
      </c>
      <c r="M772" s="7">
        <f t="shared" si="38"/>
        <v>90000</v>
      </c>
      <c r="N772" s="7"/>
      <c r="O772" s="7"/>
    </row>
    <row r="773" spans="1:15" x14ac:dyDescent="0.25">
      <c r="A773" t="s">
        <v>781</v>
      </c>
      <c r="B773" t="s">
        <v>28</v>
      </c>
      <c r="C773" t="s">
        <v>15</v>
      </c>
      <c r="D773">
        <v>9</v>
      </c>
      <c r="E773">
        <v>35000</v>
      </c>
      <c r="F773">
        <v>-12.596573690486</v>
      </c>
      <c r="G773">
        <v>-85.689672251312999</v>
      </c>
      <c r="H773">
        <v>3500</v>
      </c>
      <c r="I773">
        <v>150</v>
      </c>
      <c r="J773">
        <v>150</v>
      </c>
      <c r="K773" t="str">
        <f t="shared" si="36"/>
        <v>New York → London</v>
      </c>
      <c r="L773" s="5">
        <f t="shared" si="37"/>
        <v>16.666666666666668</v>
      </c>
      <c r="M773" s="7">
        <f t="shared" si="38"/>
        <v>22500</v>
      </c>
      <c r="N773" s="7"/>
      <c r="O773" s="7"/>
    </row>
    <row r="774" spans="1:15" x14ac:dyDescent="0.25">
      <c r="A774" t="s">
        <v>782</v>
      </c>
      <c r="B774" t="s">
        <v>1</v>
      </c>
      <c r="C774" t="s">
        <v>20</v>
      </c>
      <c r="D774">
        <v>7</v>
      </c>
      <c r="E774">
        <v>30000</v>
      </c>
      <c r="F774">
        <v>125.059655005694</v>
      </c>
      <c r="G774">
        <v>15.2690060350424</v>
      </c>
      <c r="H774">
        <v>2000</v>
      </c>
      <c r="I774">
        <v>600</v>
      </c>
      <c r="J774">
        <v>111</v>
      </c>
      <c r="K774" t="str">
        <f t="shared" si="36"/>
        <v>Houston → Dubai</v>
      </c>
      <c r="L774" s="5">
        <f t="shared" si="37"/>
        <v>85.714285714285708</v>
      </c>
      <c r="M774" s="7">
        <f t="shared" si="38"/>
        <v>66600</v>
      </c>
      <c r="N774" s="7"/>
      <c r="O774" s="7"/>
    </row>
    <row r="775" spans="1:15" x14ac:dyDescent="0.25">
      <c r="A775" t="s">
        <v>783</v>
      </c>
      <c r="B775" t="s">
        <v>11</v>
      </c>
      <c r="C775" t="s">
        <v>9</v>
      </c>
      <c r="D775">
        <v>8</v>
      </c>
      <c r="E775">
        <v>30000</v>
      </c>
      <c r="F775">
        <v>-157.53813530462</v>
      </c>
      <c r="G775">
        <v>79.465362751091803</v>
      </c>
      <c r="H775">
        <v>3000</v>
      </c>
      <c r="I775">
        <v>356</v>
      </c>
      <c r="J775">
        <v>145</v>
      </c>
      <c r="K775" t="str">
        <f t="shared" si="36"/>
        <v>Los Angeles → Sydney</v>
      </c>
      <c r="L775" s="5">
        <f t="shared" si="37"/>
        <v>44.5</v>
      </c>
      <c r="M775" s="7">
        <f t="shared" si="38"/>
        <v>51620</v>
      </c>
      <c r="N775" s="7"/>
      <c r="O775" s="7"/>
    </row>
    <row r="776" spans="1:15" x14ac:dyDescent="0.25">
      <c r="A776" t="s">
        <v>784</v>
      </c>
      <c r="B776" t="s">
        <v>11</v>
      </c>
      <c r="C776" t="s">
        <v>9</v>
      </c>
      <c r="D776">
        <v>8</v>
      </c>
      <c r="E776">
        <v>30000</v>
      </c>
      <c r="F776">
        <v>-59.299541971813497</v>
      </c>
      <c r="G776">
        <v>-58.606331919930099</v>
      </c>
      <c r="H776">
        <v>3000</v>
      </c>
      <c r="I776">
        <v>356</v>
      </c>
      <c r="J776">
        <v>145</v>
      </c>
      <c r="K776" t="str">
        <f t="shared" si="36"/>
        <v>Los Angeles → Sydney</v>
      </c>
      <c r="L776" s="5">
        <f t="shared" si="37"/>
        <v>44.5</v>
      </c>
      <c r="M776" s="7">
        <f t="shared" si="38"/>
        <v>51620</v>
      </c>
      <c r="N776" s="7"/>
      <c r="O776" s="7"/>
    </row>
    <row r="777" spans="1:15" x14ac:dyDescent="0.25">
      <c r="A777" t="s">
        <v>785</v>
      </c>
      <c r="B777" t="s">
        <v>28</v>
      </c>
      <c r="C777" t="s">
        <v>2</v>
      </c>
      <c r="D777">
        <v>15</v>
      </c>
      <c r="E777">
        <v>32000</v>
      </c>
      <c r="F777">
        <v>-155.87404640956399</v>
      </c>
      <c r="G777">
        <v>-5.1030916648928297</v>
      </c>
      <c r="H777">
        <v>2500</v>
      </c>
      <c r="I777">
        <v>450</v>
      </c>
      <c r="J777">
        <v>200</v>
      </c>
      <c r="K777" t="str">
        <f t="shared" si="36"/>
        <v>New York → Tokyo</v>
      </c>
      <c r="L777" s="5">
        <f t="shared" si="37"/>
        <v>30</v>
      </c>
      <c r="M777" s="7">
        <f t="shared" si="38"/>
        <v>90000</v>
      </c>
      <c r="N777" s="7"/>
      <c r="O777" s="7"/>
    </row>
    <row r="778" spans="1:15" x14ac:dyDescent="0.25">
      <c r="A778" t="s">
        <v>786</v>
      </c>
      <c r="B778" t="s">
        <v>11</v>
      </c>
      <c r="C778" t="s">
        <v>9</v>
      </c>
      <c r="D778">
        <v>9</v>
      </c>
      <c r="E778">
        <v>30000</v>
      </c>
      <c r="F778">
        <v>171.12352805246499</v>
      </c>
      <c r="G778">
        <v>-73.544041472915097</v>
      </c>
      <c r="H778">
        <v>3500</v>
      </c>
      <c r="I778">
        <v>356</v>
      </c>
      <c r="J778">
        <v>200</v>
      </c>
      <c r="K778" t="str">
        <f t="shared" si="36"/>
        <v>Los Angeles → Sydney</v>
      </c>
      <c r="L778" s="5">
        <f t="shared" si="37"/>
        <v>39.555555555555557</v>
      </c>
      <c r="M778" s="7">
        <f t="shared" si="38"/>
        <v>71200</v>
      </c>
      <c r="N778" s="7"/>
      <c r="O778" s="7"/>
    </row>
    <row r="779" spans="1:15" x14ac:dyDescent="0.25">
      <c r="A779" t="s">
        <v>787</v>
      </c>
      <c r="B779" t="s">
        <v>4</v>
      </c>
      <c r="C779" t="s">
        <v>15</v>
      </c>
      <c r="D779">
        <v>8</v>
      </c>
      <c r="E779">
        <v>30000</v>
      </c>
      <c r="F779">
        <v>114.110606617861</v>
      </c>
      <c r="G779">
        <v>22.6227442070435</v>
      </c>
      <c r="H779">
        <v>2615</v>
      </c>
      <c r="I779">
        <v>374</v>
      </c>
      <c r="J779">
        <v>121</v>
      </c>
      <c r="K779" t="str">
        <f t="shared" si="36"/>
        <v>Miami → London</v>
      </c>
      <c r="L779" s="5">
        <f t="shared" si="37"/>
        <v>46.75</v>
      </c>
      <c r="M779" s="7">
        <f t="shared" si="38"/>
        <v>45254</v>
      </c>
      <c r="N779" s="7"/>
      <c r="O779" s="7"/>
    </row>
    <row r="780" spans="1:15" x14ac:dyDescent="0.25">
      <c r="A780" t="s">
        <v>788</v>
      </c>
      <c r="B780" t="s">
        <v>6</v>
      </c>
      <c r="C780" t="s">
        <v>15</v>
      </c>
      <c r="D780">
        <v>9</v>
      </c>
      <c r="E780">
        <v>30000</v>
      </c>
      <c r="F780">
        <v>126.917071648549</v>
      </c>
      <c r="G780">
        <v>9.0957025073206097</v>
      </c>
      <c r="H780">
        <v>2678</v>
      </c>
      <c r="I780">
        <v>374</v>
      </c>
      <c r="J780">
        <v>116</v>
      </c>
      <c r="K780" t="str">
        <f t="shared" si="36"/>
        <v>Chicago → London</v>
      </c>
      <c r="L780" s="5">
        <f t="shared" si="37"/>
        <v>41.555555555555557</v>
      </c>
      <c r="M780" s="7">
        <f t="shared" si="38"/>
        <v>43384</v>
      </c>
      <c r="N780" s="7"/>
      <c r="O780" s="7"/>
    </row>
    <row r="781" spans="1:15" x14ac:dyDescent="0.25">
      <c r="A781" t="s">
        <v>789</v>
      </c>
      <c r="B781" t="s">
        <v>28</v>
      </c>
      <c r="C781" t="s">
        <v>2</v>
      </c>
      <c r="D781">
        <v>7</v>
      </c>
      <c r="E781">
        <v>35000</v>
      </c>
      <c r="F781">
        <v>157.66748331620201</v>
      </c>
      <c r="G781">
        <v>-16.6742056416902</v>
      </c>
      <c r="H781">
        <v>2954</v>
      </c>
      <c r="I781">
        <v>300</v>
      </c>
      <c r="J781">
        <v>100</v>
      </c>
      <c r="K781" t="str">
        <f t="shared" si="36"/>
        <v>New York → Tokyo</v>
      </c>
      <c r="L781" s="5">
        <f t="shared" si="37"/>
        <v>42.857142857142854</v>
      </c>
      <c r="M781" s="7">
        <f t="shared" si="38"/>
        <v>30000</v>
      </c>
      <c r="N781" s="7"/>
      <c r="O781" s="7"/>
    </row>
    <row r="782" spans="1:15" x14ac:dyDescent="0.25">
      <c r="A782" t="s">
        <v>790</v>
      </c>
      <c r="B782" t="s">
        <v>11</v>
      </c>
      <c r="C782" t="s">
        <v>2</v>
      </c>
      <c r="D782">
        <v>12</v>
      </c>
      <c r="E782">
        <v>30000</v>
      </c>
      <c r="F782">
        <v>-149.36274499687701</v>
      </c>
      <c r="G782">
        <v>3.8478638652734101</v>
      </c>
      <c r="H782">
        <v>2500</v>
      </c>
      <c r="I782">
        <v>450</v>
      </c>
      <c r="J782">
        <v>100</v>
      </c>
      <c r="K782" t="str">
        <f t="shared" si="36"/>
        <v>Los Angeles → Tokyo</v>
      </c>
      <c r="L782" s="5">
        <f t="shared" si="37"/>
        <v>37.5</v>
      </c>
      <c r="M782" s="7">
        <f t="shared" si="38"/>
        <v>45000</v>
      </c>
      <c r="N782" s="7"/>
      <c r="O782" s="7"/>
    </row>
    <row r="783" spans="1:15" x14ac:dyDescent="0.25">
      <c r="A783" t="s">
        <v>791</v>
      </c>
      <c r="B783" t="s">
        <v>28</v>
      </c>
      <c r="C783" t="s">
        <v>2</v>
      </c>
      <c r="D783">
        <v>12</v>
      </c>
      <c r="E783">
        <v>30000</v>
      </c>
      <c r="F783">
        <v>-41.1848666952</v>
      </c>
      <c r="G783">
        <v>71.383438524421805</v>
      </c>
      <c r="H783">
        <v>2954</v>
      </c>
      <c r="I783">
        <v>300</v>
      </c>
      <c r="J783">
        <v>128</v>
      </c>
      <c r="K783" t="str">
        <f t="shared" si="36"/>
        <v>New York → Tokyo</v>
      </c>
      <c r="L783" s="5">
        <f t="shared" si="37"/>
        <v>25</v>
      </c>
      <c r="M783" s="7">
        <f t="shared" si="38"/>
        <v>38400</v>
      </c>
      <c r="N783" s="7"/>
      <c r="O783" s="7"/>
    </row>
    <row r="784" spans="1:15" x14ac:dyDescent="0.25">
      <c r="A784" t="s">
        <v>792</v>
      </c>
      <c r="B784" t="s">
        <v>28</v>
      </c>
      <c r="C784" t="s">
        <v>20</v>
      </c>
      <c r="D784">
        <v>5</v>
      </c>
      <c r="E784">
        <v>32000</v>
      </c>
      <c r="F784">
        <v>-154.427439944159</v>
      </c>
      <c r="G784">
        <v>-54.667025584007902</v>
      </c>
      <c r="H784">
        <v>3000</v>
      </c>
      <c r="I784">
        <v>600</v>
      </c>
      <c r="J784">
        <v>200</v>
      </c>
      <c r="K784" t="str">
        <f t="shared" si="36"/>
        <v>New York → Dubai</v>
      </c>
      <c r="L784" s="5">
        <f t="shared" si="37"/>
        <v>120</v>
      </c>
      <c r="M784" s="7">
        <f t="shared" si="38"/>
        <v>120000</v>
      </c>
      <c r="N784" s="7"/>
      <c r="O784" s="7"/>
    </row>
    <row r="785" spans="1:15" x14ac:dyDescent="0.25">
      <c r="A785" t="s">
        <v>793</v>
      </c>
      <c r="B785" t="s">
        <v>6</v>
      </c>
      <c r="C785" t="s">
        <v>9</v>
      </c>
      <c r="D785">
        <v>9</v>
      </c>
      <c r="E785">
        <v>30000</v>
      </c>
      <c r="F785">
        <v>-104.11448344199</v>
      </c>
      <c r="G785">
        <v>-85.9383878930375</v>
      </c>
      <c r="H785">
        <v>2678</v>
      </c>
      <c r="I785">
        <v>356</v>
      </c>
      <c r="J785">
        <v>137</v>
      </c>
      <c r="K785" t="str">
        <f t="shared" si="36"/>
        <v>Chicago → Sydney</v>
      </c>
      <c r="L785" s="5">
        <f t="shared" si="37"/>
        <v>39.555555555555557</v>
      </c>
      <c r="M785" s="7">
        <f t="shared" si="38"/>
        <v>48772</v>
      </c>
      <c r="N785" s="7"/>
      <c r="O785" s="7"/>
    </row>
    <row r="786" spans="1:15" x14ac:dyDescent="0.25">
      <c r="A786" t="s">
        <v>794</v>
      </c>
      <c r="B786" t="s">
        <v>4</v>
      </c>
      <c r="C786" t="s">
        <v>2</v>
      </c>
      <c r="D786">
        <v>15</v>
      </c>
      <c r="E786">
        <v>32000</v>
      </c>
      <c r="F786">
        <v>-97.428320266438007</v>
      </c>
      <c r="G786">
        <v>65.099679245838203</v>
      </c>
      <c r="H786">
        <v>3500</v>
      </c>
      <c r="I786">
        <v>600</v>
      </c>
      <c r="J786">
        <v>150</v>
      </c>
      <c r="K786" t="str">
        <f t="shared" si="36"/>
        <v>Miami → Tokyo</v>
      </c>
      <c r="L786" s="5">
        <f t="shared" si="37"/>
        <v>40</v>
      </c>
      <c r="M786" s="7">
        <f t="shared" si="38"/>
        <v>90000</v>
      </c>
      <c r="N786" s="7"/>
      <c r="O786" s="7"/>
    </row>
    <row r="787" spans="1:15" x14ac:dyDescent="0.25">
      <c r="A787" t="s">
        <v>795</v>
      </c>
      <c r="B787" t="s">
        <v>28</v>
      </c>
      <c r="C787" t="s">
        <v>13</v>
      </c>
      <c r="D787">
        <v>15</v>
      </c>
      <c r="E787">
        <v>30000</v>
      </c>
      <c r="F787">
        <v>-11.121404022871699</v>
      </c>
      <c r="G787">
        <v>13.8810748298232</v>
      </c>
      <c r="H787">
        <v>2847</v>
      </c>
      <c r="I787">
        <v>600</v>
      </c>
      <c r="J787">
        <v>150</v>
      </c>
      <c r="K787" t="str">
        <f t="shared" si="36"/>
        <v>New York → Paris</v>
      </c>
      <c r="L787" s="5">
        <f t="shared" si="37"/>
        <v>40</v>
      </c>
      <c r="M787" s="7">
        <f t="shared" si="38"/>
        <v>90000</v>
      </c>
      <c r="N787" s="7"/>
      <c r="O787" s="7"/>
    </row>
    <row r="788" spans="1:15" x14ac:dyDescent="0.25">
      <c r="A788" t="s">
        <v>796</v>
      </c>
      <c r="B788" t="s">
        <v>11</v>
      </c>
      <c r="C788" t="s">
        <v>13</v>
      </c>
      <c r="D788">
        <v>5</v>
      </c>
      <c r="E788">
        <v>30000</v>
      </c>
      <c r="F788">
        <v>-83.317619716688696</v>
      </c>
      <c r="G788">
        <v>70.318521983131603</v>
      </c>
      <c r="H788">
        <v>3500</v>
      </c>
      <c r="I788">
        <v>600</v>
      </c>
      <c r="J788">
        <v>50</v>
      </c>
      <c r="K788" t="str">
        <f t="shared" si="36"/>
        <v>Los Angeles → Paris</v>
      </c>
      <c r="L788" s="5">
        <f t="shared" si="37"/>
        <v>120</v>
      </c>
      <c r="M788" s="7">
        <f t="shared" si="38"/>
        <v>30000</v>
      </c>
      <c r="N788" s="7"/>
      <c r="O788" s="7"/>
    </row>
    <row r="789" spans="1:15" x14ac:dyDescent="0.25">
      <c r="A789" t="s">
        <v>797</v>
      </c>
      <c r="B789" t="s">
        <v>1</v>
      </c>
      <c r="C789" t="s">
        <v>15</v>
      </c>
      <c r="D789">
        <v>8</v>
      </c>
      <c r="E789">
        <v>30000</v>
      </c>
      <c r="F789">
        <v>-143.647881545606</v>
      </c>
      <c r="G789">
        <v>17.4501402143711</v>
      </c>
      <c r="H789">
        <v>2846</v>
      </c>
      <c r="I789">
        <v>374</v>
      </c>
      <c r="J789">
        <v>138</v>
      </c>
      <c r="K789" t="str">
        <f t="shared" si="36"/>
        <v>Houston → London</v>
      </c>
      <c r="L789" s="5">
        <f t="shared" si="37"/>
        <v>46.75</v>
      </c>
      <c r="M789" s="7">
        <f t="shared" si="38"/>
        <v>51612</v>
      </c>
      <c r="N789" s="7"/>
      <c r="O789" s="7"/>
    </row>
    <row r="790" spans="1:15" x14ac:dyDescent="0.25">
      <c r="A790" t="s">
        <v>798</v>
      </c>
      <c r="B790" t="s">
        <v>28</v>
      </c>
      <c r="C790" t="s">
        <v>9</v>
      </c>
      <c r="D790">
        <v>7</v>
      </c>
      <c r="E790">
        <v>35000</v>
      </c>
      <c r="F790">
        <v>-119.703207926121</v>
      </c>
      <c r="G790">
        <v>55.828996192746402</v>
      </c>
      <c r="H790">
        <v>2800</v>
      </c>
      <c r="I790">
        <v>450</v>
      </c>
      <c r="J790">
        <v>120</v>
      </c>
      <c r="K790" t="str">
        <f t="shared" si="36"/>
        <v>New York → Sydney</v>
      </c>
      <c r="L790" s="5">
        <f t="shared" si="37"/>
        <v>64.285714285714292</v>
      </c>
      <c r="M790" s="7">
        <f t="shared" si="38"/>
        <v>54000</v>
      </c>
      <c r="N790" s="7"/>
      <c r="O790" s="7"/>
    </row>
    <row r="791" spans="1:15" x14ac:dyDescent="0.25">
      <c r="A791" t="s">
        <v>799</v>
      </c>
      <c r="B791" t="s">
        <v>28</v>
      </c>
      <c r="C791" t="s">
        <v>2</v>
      </c>
      <c r="D791">
        <v>9</v>
      </c>
      <c r="E791">
        <v>30000</v>
      </c>
      <c r="F791">
        <v>-126.98079712124699</v>
      </c>
      <c r="G791">
        <v>-12.658794596073401</v>
      </c>
      <c r="H791">
        <v>2954</v>
      </c>
      <c r="I791">
        <v>397</v>
      </c>
      <c r="J791">
        <v>128</v>
      </c>
      <c r="K791" t="str">
        <f t="shared" si="36"/>
        <v>New York → Tokyo</v>
      </c>
      <c r="L791" s="5">
        <f t="shared" si="37"/>
        <v>44.111111111111114</v>
      </c>
      <c r="M791" s="7">
        <f t="shared" si="38"/>
        <v>50816</v>
      </c>
      <c r="N791" s="7"/>
      <c r="O791" s="7"/>
    </row>
    <row r="792" spans="1:15" x14ac:dyDescent="0.25">
      <c r="A792" t="s">
        <v>800</v>
      </c>
      <c r="B792" t="s">
        <v>6</v>
      </c>
      <c r="C792" t="s">
        <v>13</v>
      </c>
      <c r="D792">
        <v>12</v>
      </c>
      <c r="E792">
        <v>30000</v>
      </c>
      <c r="F792">
        <v>170.307647248427</v>
      </c>
      <c r="G792">
        <v>44.974787631888397</v>
      </c>
      <c r="H792">
        <v>3500</v>
      </c>
      <c r="I792">
        <v>450</v>
      </c>
      <c r="J792">
        <v>200</v>
      </c>
      <c r="K792" t="str">
        <f t="shared" si="36"/>
        <v>Chicago → Paris</v>
      </c>
      <c r="L792" s="5">
        <f t="shared" si="37"/>
        <v>37.5</v>
      </c>
      <c r="M792" s="7">
        <f t="shared" si="38"/>
        <v>90000</v>
      </c>
      <c r="N792" s="7"/>
      <c r="O792" s="7"/>
    </row>
    <row r="793" spans="1:15" x14ac:dyDescent="0.25">
      <c r="A793" t="s">
        <v>801</v>
      </c>
      <c r="B793" t="s">
        <v>4</v>
      </c>
      <c r="C793" t="s">
        <v>9</v>
      </c>
      <c r="D793">
        <v>12</v>
      </c>
      <c r="E793">
        <v>35000</v>
      </c>
      <c r="F793">
        <v>93.345302490650496</v>
      </c>
      <c r="G793">
        <v>74.347464040174103</v>
      </c>
      <c r="H793">
        <v>2931</v>
      </c>
      <c r="I793">
        <v>450</v>
      </c>
      <c r="J793">
        <v>105</v>
      </c>
      <c r="K793" t="str">
        <f t="shared" si="36"/>
        <v>Miami → Sydney</v>
      </c>
      <c r="L793" s="5">
        <f t="shared" si="37"/>
        <v>37.5</v>
      </c>
      <c r="M793" s="7">
        <f t="shared" si="38"/>
        <v>47250</v>
      </c>
      <c r="N793" s="7"/>
      <c r="O793" s="7"/>
    </row>
    <row r="794" spans="1:15" x14ac:dyDescent="0.25">
      <c r="A794" t="s">
        <v>802</v>
      </c>
      <c r="B794" t="s">
        <v>1</v>
      </c>
      <c r="C794" t="s">
        <v>15</v>
      </c>
      <c r="D794">
        <v>8</v>
      </c>
      <c r="E794">
        <v>30000</v>
      </c>
      <c r="F794">
        <v>168.39412749704201</v>
      </c>
      <c r="G794">
        <v>12.9821334699971</v>
      </c>
      <c r="H794">
        <v>2846</v>
      </c>
      <c r="I794">
        <v>374</v>
      </c>
      <c r="J794">
        <v>138</v>
      </c>
      <c r="K794" t="str">
        <f t="shared" si="36"/>
        <v>Houston → London</v>
      </c>
      <c r="L794" s="5">
        <f t="shared" si="37"/>
        <v>46.75</v>
      </c>
      <c r="M794" s="7">
        <f t="shared" si="38"/>
        <v>51612</v>
      </c>
      <c r="N794" s="7"/>
      <c r="O794" s="7"/>
    </row>
    <row r="795" spans="1:15" x14ac:dyDescent="0.25">
      <c r="A795" t="s">
        <v>803</v>
      </c>
      <c r="B795" t="s">
        <v>11</v>
      </c>
      <c r="C795" t="s">
        <v>20</v>
      </c>
      <c r="D795">
        <v>12</v>
      </c>
      <c r="E795">
        <v>35000</v>
      </c>
      <c r="F795">
        <v>-21.693424857152898</v>
      </c>
      <c r="G795">
        <v>-57.458672898771702</v>
      </c>
      <c r="H795">
        <v>3500</v>
      </c>
      <c r="I795">
        <v>300</v>
      </c>
      <c r="J795">
        <v>100</v>
      </c>
      <c r="K795" t="str">
        <f t="shared" si="36"/>
        <v>Los Angeles → Dubai</v>
      </c>
      <c r="L795" s="5">
        <f t="shared" si="37"/>
        <v>25</v>
      </c>
      <c r="M795" s="7">
        <f t="shared" si="38"/>
        <v>30000</v>
      </c>
      <c r="N795" s="7"/>
      <c r="O795" s="7"/>
    </row>
    <row r="796" spans="1:15" x14ac:dyDescent="0.25">
      <c r="A796" t="s">
        <v>804</v>
      </c>
      <c r="B796" t="s">
        <v>1</v>
      </c>
      <c r="C796" t="s">
        <v>9</v>
      </c>
      <c r="D796">
        <v>7</v>
      </c>
      <c r="E796">
        <v>35000</v>
      </c>
      <c r="F796">
        <v>-79.787346601443602</v>
      </c>
      <c r="G796">
        <v>-41.616429294564298</v>
      </c>
      <c r="H796">
        <v>3000</v>
      </c>
      <c r="I796">
        <v>450</v>
      </c>
      <c r="J796">
        <v>127</v>
      </c>
      <c r="K796" t="str">
        <f t="shared" si="36"/>
        <v>Houston → Sydney</v>
      </c>
      <c r="L796" s="5">
        <f t="shared" si="37"/>
        <v>64.285714285714292</v>
      </c>
      <c r="M796" s="7">
        <f t="shared" si="38"/>
        <v>57150</v>
      </c>
      <c r="N796" s="7"/>
      <c r="O796" s="7"/>
    </row>
    <row r="797" spans="1:15" x14ac:dyDescent="0.25">
      <c r="A797" t="s">
        <v>805</v>
      </c>
      <c r="B797" t="s">
        <v>11</v>
      </c>
      <c r="C797" t="s">
        <v>9</v>
      </c>
      <c r="D797">
        <v>9</v>
      </c>
      <c r="E797">
        <v>30000</v>
      </c>
      <c r="F797">
        <v>107.385550995307</v>
      </c>
      <c r="G797">
        <v>-54.243976158466999</v>
      </c>
      <c r="H797">
        <v>3000</v>
      </c>
      <c r="I797">
        <v>356</v>
      </c>
      <c r="J797">
        <v>100</v>
      </c>
      <c r="K797" t="str">
        <f t="shared" si="36"/>
        <v>Los Angeles → Sydney</v>
      </c>
      <c r="L797" s="5">
        <f t="shared" si="37"/>
        <v>39.555555555555557</v>
      </c>
      <c r="M797" s="7">
        <f t="shared" si="38"/>
        <v>35600</v>
      </c>
      <c r="N797" s="7"/>
      <c r="O797" s="7"/>
    </row>
    <row r="798" spans="1:15" x14ac:dyDescent="0.25">
      <c r="A798" t="s">
        <v>806</v>
      </c>
      <c r="B798" t="s">
        <v>4</v>
      </c>
      <c r="C798" t="s">
        <v>20</v>
      </c>
      <c r="D798">
        <v>9</v>
      </c>
      <c r="E798">
        <v>30000</v>
      </c>
      <c r="F798">
        <v>-62.548589505187202</v>
      </c>
      <c r="G798">
        <v>-45.565735032768103</v>
      </c>
      <c r="H798">
        <v>2700</v>
      </c>
      <c r="I798">
        <v>402</v>
      </c>
      <c r="J798">
        <v>128</v>
      </c>
      <c r="K798" t="str">
        <f t="shared" si="36"/>
        <v>Miami → Dubai</v>
      </c>
      <c r="L798" s="5">
        <f t="shared" si="37"/>
        <v>44.666666666666664</v>
      </c>
      <c r="M798" s="7">
        <f t="shared" si="38"/>
        <v>51456</v>
      </c>
      <c r="N798" s="7"/>
      <c r="O798" s="7"/>
    </row>
    <row r="799" spans="1:15" x14ac:dyDescent="0.25">
      <c r="A799" t="s">
        <v>807</v>
      </c>
      <c r="B799" t="s">
        <v>11</v>
      </c>
      <c r="C799" t="s">
        <v>9</v>
      </c>
      <c r="D799">
        <v>8</v>
      </c>
      <c r="E799">
        <v>30000</v>
      </c>
      <c r="F799">
        <v>-72.221985466074599</v>
      </c>
      <c r="G799">
        <v>-34.845219116813503</v>
      </c>
      <c r="H799">
        <v>3000</v>
      </c>
      <c r="I799">
        <v>356</v>
      </c>
      <c r="J799">
        <v>145</v>
      </c>
      <c r="K799" t="str">
        <f t="shared" si="36"/>
        <v>Los Angeles → Sydney</v>
      </c>
      <c r="L799" s="5">
        <f t="shared" si="37"/>
        <v>44.5</v>
      </c>
      <c r="M799" s="7">
        <f t="shared" si="38"/>
        <v>51620</v>
      </c>
      <c r="N799" s="7"/>
      <c r="O799" s="7"/>
    </row>
    <row r="800" spans="1:15" x14ac:dyDescent="0.25">
      <c r="A800" t="s">
        <v>808</v>
      </c>
      <c r="B800" t="s">
        <v>6</v>
      </c>
      <c r="C800" t="s">
        <v>15</v>
      </c>
      <c r="D800">
        <v>9</v>
      </c>
      <c r="E800">
        <v>30000</v>
      </c>
      <c r="F800">
        <v>-96.297842805180807</v>
      </c>
      <c r="G800">
        <v>9.9240816155739306</v>
      </c>
      <c r="H800">
        <v>2678</v>
      </c>
      <c r="I800">
        <v>374</v>
      </c>
      <c r="J800">
        <v>116</v>
      </c>
      <c r="K800" t="str">
        <f t="shared" si="36"/>
        <v>Chicago → London</v>
      </c>
      <c r="L800" s="5">
        <f t="shared" si="37"/>
        <v>41.555555555555557</v>
      </c>
      <c r="M800" s="7">
        <f t="shared" si="38"/>
        <v>43384</v>
      </c>
      <c r="N800" s="7"/>
      <c r="O800" s="7"/>
    </row>
    <row r="801" spans="1:15" x14ac:dyDescent="0.25">
      <c r="A801" t="s">
        <v>809</v>
      </c>
      <c r="B801" t="s">
        <v>6</v>
      </c>
      <c r="C801" t="s">
        <v>15</v>
      </c>
      <c r="D801">
        <v>9</v>
      </c>
      <c r="E801">
        <v>30000</v>
      </c>
      <c r="F801">
        <v>-133.31556783927499</v>
      </c>
      <c r="G801">
        <v>15.8384933034899</v>
      </c>
      <c r="H801">
        <v>2678</v>
      </c>
      <c r="I801">
        <v>374</v>
      </c>
      <c r="J801">
        <v>116</v>
      </c>
      <c r="K801" t="str">
        <f t="shared" si="36"/>
        <v>Chicago → London</v>
      </c>
      <c r="L801" s="5">
        <f t="shared" si="37"/>
        <v>41.555555555555557</v>
      </c>
      <c r="M801" s="7">
        <f t="shared" si="38"/>
        <v>43384</v>
      </c>
      <c r="N801" s="7"/>
      <c r="O801" s="7"/>
    </row>
    <row r="802" spans="1:15" x14ac:dyDescent="0.25">
      <c r="A802" t="s">
        <v>810</v>
      </c>
      <c r="B802" t="s">
        <v>6</v>
      </c>
      <c r="C802" t="s">
        <v>20</v>
      </c>
      <c r="D802">
        <v>10</v>
      </c>
      <c r="E802">
        <v>30000</v>
      </c>
      <c r="F802">
        <v>-87.673298033964201</v>
      </c>
      <c r="G802">
        <v>-13.230045496464999</v>
      </c>
      <c r="H802">
        <v>2636</v>
      </c>
      <c r="I802">
        <v>402</v>
      </c>
      <c r="J802">
        <v>114</v>
      </c>
      <c r="K802" t="str">
        <f t="shared" si="36"/>
        <v>Chicago → Dubai</v>
      </c>
      <c r="L802" s="5">
        <f t="shared" si="37"/>
        <v>40.200000000000003</v>
      </c>
      <c r="M802" s="7">
        <f t="shared" si="38"/>
        <v>45828</v>
      </c>
      <c r="N802" s="7"/>
      <c r="O802" s="7"/>
    </row>
    <row r="803" spans="1:15" x14ac:dyDescent="0.25">
      <c r="A803" t="s">
        <v>811</v>
      </c>
      <c r="B803" t="s">
        <v>6</v>
      </c>
      <c r="C803" t="s">
        <v>2</v>
      </c>
      <c r="D803">
        <v>8</v>
      </c>
      <c r="E803">
        <v>30000</v>
      </c>
      <c r="F803">
        <v>-52.084890549400399</v>
      </c>
      <c r="G803">
        <v>20.775740367750402</v>
      </c>
      <c r="H803">
        <v>2500</v>
      </c>
      <c r="I803">
        <v>450</v>
      </c>
      <c r="J803">
        <v>50</v>
      </c>
      <c r="K803" t="str">
        <f t="shared" si="36"/>
        <v>Chicago → Tokyo</v>
      </c>
      <c r="L803" s="5">
        <f t="shared" si="37"/>
        <v>56.25</v>
      </c>
      <c r="M803" s="7">
        <f t="shared" si="38"/>
        <v>22500</v>
      </c>
      <c r="N803" s="7"/>
      <c r="O803" s="7"/>
    </row>
    <row r="804" spans="1:15" x14ac:dyDescent="0.25">
      <c r="A804" t="s">
        <v>812</v>
      </c>
      <c r="B804" t="s">
        <v>1</v>
      </c>
      <c r="C804" t="s">
        <v>13</v>
      </c>
      <c r="D804">
        <v>9</v>
      </c>
      <c r="E804">
        <v>30000</v>
      </c>
      <c r="F804">
        <v>62.637914932462898</v>
      </c>
      <c r="G804">
        <v>-75.316513389954096</v>
      </c>
      <c r="H804">
        <v>2647</v>
      </c>
      <c r="I804">
        <v>354</v>
      </c>
      <c r="J804">
        <v>113</v>
      </c>
      <c r="K804" t="str">
        <f t="shared" si="36"/>
        <v>Houston → Paris</v>
      </c>
      <c r="L804" s="5">
        <f t="shared" si="37"/>
        <v>39.333333333333336</v>
      </c>
      <c r="M804" s="7">
        <f t="shared" si="38"/>
        <v>40002</v>
      </c>
      <c r="N804" s="7"/>
      <c r="O804" s="7"/>
    </row>
    <row r="805" spans="1:15" x14ac:dyDescent="0.25">
      <c r="A805" t="s">
        <v>813</v>
      </c>
      <c r="B805" t="s">
        <v>4</v>
      </c>
      <c r="C805" t="s">
        <v>2</v>
      </c>
      <c r="D805">
        <v>12</v>
      </c>
      <c r="E805">
        <v>35000</v>
      </c>
      <c r="F805">
        <v>-157.47665680099701</v>
      </c>
      <c r="G805">
        <v>-74.1981173295312</v>
      </c>
      <c r="H805">
        <v>3000</v>
      </c>
      <c r="I805">
        <v>450</v>
      </c>
      <c r="J805">
        <v>150</v>
      </c>
      <c r="K805" t="str">
        <f t="shared" si="36"/>
        <v>Miami → Tokyo</v>
      </c>
      <c r="L805" s="5">
        <f t="shared" si="37"/>
        <v>37.5</v>
      </c>
      <c r="M805" s="7">
        <f t="shared" si="38"/>
        <v>67500</v>
      </c>
      <c r="N805" s="7"/>
      <c r="O805" s="7"/>
    </row>
    <row r="806" spans="1:15" x14ac:dyDescent="0.25">
      <c r="A806" t="s">
        <v>814</v>
      </c>
      <c r="B806" t="s">
        <v>11</v>
      </c>
      <c r="C806" t="s">
        <v>9</v>
      </c>
      <c r="D806">
        <v>5</v>
      </c>
      <c r="E806">
        <v>30000</v>
      </c>
      <c r="F806">
        <v>-104.217501720477</v>
      </c>
      <c r="G806">
        <v>-59.070697135621501</v>
      </c>
      <c r="H806">
        <v>3000</v>
      </c>
      <c r="I806">
        <v>450</v>
      </c>
      <c r="J806">
        <v>100</v>
      </c>
      <c r="K806" t="str">
        <f t="shared" si="36"/>
        <v>Los Angeles → Sydney</v>
      </c>
      <c r="L806" s="5">
        <f t="shared" si="37"/>
        <v>90</v>
      </c>
      <c r="M806" s="7">
        <f t="shared" si="38"/>
        <v>45000</v>
      </c>
      <c r="N806" s="7"/>
      <c r="O806" s="7"/>
    </row>
    <row r="807" spans="1:15" x14ac:dyDescent="0.25">
      <c r="A807" t="s">
        <v>815</v>
      </c>
      <c r="B807" t="s">
        <v>11</v>
      </c>
      <c r="C807" t="s">
        <v>13</v>
      </c>
      <c r="D807">
        <v>15</v>
      </c>
      <c r="E807">
        <v>30000</v>
      </c>
      <c r="F807">
        <v>111.248510505003</v>
      </c>
      <c r="G807">
        <v>3.2539496472620599</v>
      </c>
      <c r="H807">
        <v>2000</v>
      </c>
      <c r="I807">
        <v>600</v>
      </c>
      <c r="J807">
        <v>50</v>
      </c>
      <c r="K807" t="str">
        <f t="shared" si="36"/>
        <v>Los Angeles → Paris</v>
      </c>
      <c r="L807" s="5">
        <f t="shared" si="37"/>
        <v>40</v>
      </c>
      <c r="M807" s="7">
        <f t="shared" si="38"/>
        <v>30000</v>
      </c>
      <c r="N807" s="7"/>
      <c r="O807" s="7"/>
    </row>
    <row r="808" spans="1:15" x14ac:dyDescent="0.25">
      <c r="A808" t="s">
        <v>816</v>
      </c>
      <c r="B808" t="s">
        <v>6</v>
      </c>
      <c r="C808" t="s">
        <v>20</v>
      </c>
      <c r="D808">
        <v>12</v>
      </c>
      <c r="E808">
        <v>35000</v>
      </c>
      <c r="F808">
        <v>-127.108107509842</v>
      </c>
      <c r="G808">
        <v>-51.480957834303602</v>
      </c>
      <c r="H808">
        <v>2000</v>
      </c>
      <c r="I808">
        <v>600</v>
      </c>
      <c r="J808">
        <v>150</v>
      </c>
      <c r="K808" t="str">
        <f t="shared" si="36"/>
        <v>Chicago → Dubai</v>
      </c>
      <c r="L808" s="5">
        <f t="shared" si="37"/>
        <v>50</v>
      </c>
      <c r="M808" s="7">
        <f t="shared" si="38"/>
        <v>90000</v>
      </c>
      <c r="N808" s="7"/>
      <c r="O808" s="7"/>
    </row>
    <row r="809" spans="1:15" x14ac:dyDescent="0.25">
      <c r="A809" t="s">
        <v>817</v>
      </c>
      <c r="B809" t="s">
        <v>6</v>
      </c>
      <c r="C809" t="s">
        <v>20</v>
      </c>
      <c r="D809">
        <v>9</v>
      </c>
      <c r="E809">
        <v>30000</v>
      </c>
      <c r="F809">
        <v>-56.647747251892199</v>
      </c>
      <c r="G809">
        <v>-39.008807371336097</v>
      </c>
      <c r="H809">
        <v>3500</v>
      </c>
      <c r="I809">
        <v>450</v>
      </c>
      <c r="J809">
        <v>200</v>
      </c>
      <c r="K809" t="str">
        <f t="shared" si="36"/>
        <v>Chicago → Dubai</v>
      </c>
      <c r="L809" s="5">
        <f t="shared" si="37"/>
        <v>50</v>
      </c>
      <c r="M809" s="7">
        <f t="shared" si="38"/>
        <v>90000</v>
      </c>
      <c r="N809" s="7"/>
      <c r="O809" s="7"/>
    </row>
    <row r="810" spans="1:15" x14ac:dyDescent="0.25">
      <c r="A810" t="s">
        <v>818</v>
      </c>
      <c r="B810" t="s">
        <v>28</v>
      </c>
      <c r="C810" t="s">
        <v>13</v>
      </c>
      <c r="D810">
        <v>15</v>
      </c>
      <c r="E810">
        <v>32000</v>
      </c>
      <c r="F810">
        <v>131.27721186893001</v>
      </c>
      <c r="G810">
        <v>-17.9436894888611</v>
      </c>
      <c r="H810">
        <v>2000</v>
      </c>
      <c r="I810">
        <v>354</v>
      </c>
      <c r="J810">
        <v>150</v>
      </c>
      <c r="K810" t="str">
        <f t="shared" si="36"/>
        <v>New York → Paris</v>
      </c>
      <c r="L810" s="5">
        <f t="shared" si="37"/>
        <v>23.6</v>
      </c>
      <c r="M810" s="7">
        <f t="shared" si="38"/>
        <v>53100</v>
      </c>
      <c r="N810" s="7"/>
      <c r="O810" s="7"/>
    </row>
    <row r="811" spans="1:15" x14ac:dyDescent="0.25">
      <c r="A811" t="s">
        <v>819</v>
      </c>
      <c r="B811" t="s">
        <v>4</v>
      </c>
      <c r="C811" t="s">
        <v>15</v>
      </c>
      <c r="D811">
        <v>12</v>
      </c>
      <c r="E811">
        <v>30000</v>
      </c>
      <c r="F811">
        <v>-124.226887988361</v>
      </c>
      <c r="G811">
        <v>56.1359023218684</v>
      </c>
      <c r="H811">
        <v>3500</v>
      </c>
      <c r="I811">
        <v>600</v>
      </c>
      <c r="J811">
        <v>121</v>
      </c>
      <c r="K811" t="str">
        <f t="shared" si="36"/>
        <v>Miami → London</v>
      </c>
      <c r="L811" s="5">
        <f t="shared" si="37"/>
        <v>50</v>
      </c>
      <c r="M811" s="7">
        <f t="shared" si="38"/>
        <v>72600</v>
      </c>
      <c r="N811" s="7"/>
      <c r="O811" s="7"/>
    </row>
    <row r="812" spans="1:15" x14ac:dyDescent="0.25">
      <c r="A812" t="s">
        <v>820</v>
      </c>
      <c r="B812" t="s">
        <v>1</v>
      </c>
      <c r="C812" t="s">
        <v>13</v>
      </c>
      <c r="D812">
        <v>9</v>
      </c>
      <c r="E812">
        <v>30000</v>
      </c>
      <c r="F812">
        <v>-150.214739177452</v>
      </c>
      <c r="G812">
        <v>-87.504815535685196</v>
      </c>
      <c r="H812">
        <v>2647</v>
      </c>
      <c r="I812">
        <v>354</v>
      </c>
      <c r="J812">
        <v>113</v>
      </c>
      <c r="K812" t="str">
        <f t="shared" si="36"/>
        <v>Houston → Paris</v>
      </c>
      <c r="L812" s="5">
        <f t="shared" si="37"/>
        <v>39.333333333333336</v>
      </c>
      <c r="M812" s="7">
        <f t="shared" si="38"/>
        <v>40002</v>
      </c>
      <c r="N812" s="7"/>
      <c r="O812" s="7"/>
    </row>
    <row r="813" spans="1:15" x14ac:dyDescent="0.25">
      <c r="A813" t="s">
        <v>821</v>
      </c>
      <c r="B813" t="s">
        <v>11</v>
      </c>
      <c r="C813" t="s">
        <v>9</v>
      </c>
      <c r="D813">
        <v>8</v>
      </c>
      <c r="E813">
        <v>30000</v>
      </c>
      <c r="F813">
        <v>-5.5663217711961002</v>
      </c>
      <c r="G813">
        <v>26.888187642592001</v>
      </c>
      <c r="H813">
        <v>3000</v>
      </c>
      <c r="I813">
        <v>356</v>
      </c>
      <c r="J813">
        <v>145</v>
      </c>
      <c r="K813" t="str">
        <f t="shared" si="36"/>
        <v>Los Angeles → Sydney</v>
      </c>
      <c r="L813" s="5">
        <f t="shared" si="37"/>
        <v>44.5</v>
      </c>
      <c r="M813" s="7">
        <f t="shared" si="38"/>
        <v>51620</v>
      </c>
      <c r="N813" s="7"/>
      <c r="O813" s="7"/>
    </row>
    <row r="814" spans="1:15" x14ac:dyDescent="0.25">
      <c r="A814" t="s">
        <v>822</v>
      </c>
      <c r="B814" t="s">
        <v>28</v>
      </c>
      <c r="C814" t="s">
        <v>15</v>
      </c>
      <c r="D814">
        <v>9</v>
      </c>
      <c r="E814">
        <v>35000</v>
      </c>
      <c r="F814">
        <v>-71.128975939726899</v>
      </c>
      <c r="G814">
        <v>30.397775587323402</v>
      </c>
      <c r="H814">
        <v>3000</v>
      </c>
      <c r="I814">
        <v>374</v>
      </c>
      <c r="J814">
        <v>150</v>
      </c>
      <c r="K814" t="str">
        <f t="shared" si="36"/>
        <v>New York → London</v>
      </c>
      <c r="L814" s="5">
        <f t="shared" si="37"/>
        <v>41.555555555555557</v>
      </c>
      <c r="M814" s="7">
        <f t="shared" si="38"/>
        <v>56100</v>
      </c>
      <c r="N814" s="7"/>
      <c r="O814" s="7"/>
    </row>
    <row r="815" spans="1:15" x14ac:dyDescent="0.25">
      <c r="A815" t="s">
        <v>823</v>
      </c>
      <c r="B815" t="s">
        <v>28</v>
      </c>
      <c r="C815" t="s">
        <v>20</v>
      </c>
      <c r="D815">
        <v>11</v>
      </c>
      <c r="E815">
        <v>30000</v>
      </c>
      <c r="F815">
        <v>22.8270112141875</v>
      </c>
      <c r="G815">
        <v>53.7580404641946</v>
      </c>
      <c r="H815">
        <v>2588</v>
      </c>
      <c r="I815">
        <v>402</v>
      </c>
      <c r="J815">
        <v>134</v>
      </c>
      <c r="K815" t="str">
        <f t="shared" si="36"/>
        <v>New York → Dubai</v>
      </c>
      <c r="L815" s="5">
        <f t="shared" si="37"/>
        <v>36.545454545454547</v>
      </c>
      <c r="M815" s="7">
        <f t="shared" si="38"/>
        <v>53868</v>
      </c>
      <c r="N815" s="7"/>
      <c r="O815" s="7"/>
    </row>
    <row r="816" spans="1:15" x14ac:dyDescent="0.25">
      <c r="A816" t="s">
        <v>824</v>
      </c>
      <c r="B816" t="s">
        <v>11</v>
      </c>
      <c r="C816" t="s">
        <v>13</v>
      </c>
      <c r="D816">
        <v>9</v>
      </c>
      <c r="E816">
        <v>30000</v>
      </c>
      <c r="F816">
        <v>109.369760574051</v>
      </c>
      <c r="G816">
        <v>77.895529030856395</v>
      </c>
      <c r="H816">
        <v>3000</v>
      </c>
      <c r="I816">
        <v>450</v>
      </c>
      <c r="J816">
        <v>50</v>
      </c>
      <c r="K816" t="str">
        <f t="shared" si="36"/>
        <v>Los Angeles → Paris</v>
      </c>
      <c r="L816" s="5">
        <f t="shared" si="37"/>
        <v>50</v>
      </c>
      <c r="M816" s="7">
        <f t="shared" si="38"/>
        <v>22500</v>
      </c>
      <c r="N816" s="7"/>
      <c r="O816" s="7"/>
    </row>
    <row r="817" spans="1:15" x14ac:dyDescent="0.25">
      <c r="A817" t="s">
        <v>825</v>
      </c>
      <c r="B817" t="s">
        <v>1</v>
      </c>
      <c r="C817" t="s">
        <v>2</v>
      </c>
      <c r="D817">
        <v>5</v>
      </c>
      <c r="E817">
        <v>30000</v>
      </c>
      <c r="F817">
        <v>-130.626544265013</v>
      </c>
      <c r="G817">
        <v>-86.3751871891278</v>
      </c>
      <c r="H817">
        <v>2550</v>
      </c>
      <c r="I817">
        <v>450</v>
      </c>
      <c r="J817">
        <v>150</v>
      </c>
      <c r="K817" t="str">
        <f t="shared" si="36"/>
        <v>Houston → Tokyo</v>
      </c>
      <c r="L817" s="5">
        <f t="shared" si="37"/>
        <v>90</v>
      </c>
      <c r="M817" s="7">
        <f t="shared" si="38"/>
        <v>67500</v>
      </c>
      <c r="N817" s="7"/>
      <c r="O817" s="7"/>
    </row>
    <row r="818" spans="1:15" x14ac:dyDescent="0.25">
      <c r="A818" t="s">
        <v>826</v>
      </c>
      <c r="B818" t="s">
        <v>28</v>
      </c>
      <c r="C818" t="s">
        <v>2</v>
      </c>
      <c r="D818">
        <v>9</v>
      </c>
      <c r="E818">
        <v>30000</v>
      </c>
      <c r="F818">
        <v>29.051670439542601</v>
      </c>
      <c r="G818">
        <v>-62.318933007621098</v>
      </c>
      <c r="H818">
        <v>2954</v>
      </c>
      <c r="I818">
        <v>397</v>
      </c>
      <c r="J818">
        <v>128</v>
      </c>
      <c r="K818" t="str">
        <f t="shared" si="36"/>
        <v>New York → Tokyo</v>
      </c>
      <c r="L818" s="5">
        <f t="shared" si="37"/>
        <v>44.111111111111114</v>
      </c>
      <c r="M818" s="7">
        <f t="shared" si="38"/>
        <v>50816</v>
      </c>
      <c r="N818" s="7"/>
      <c r="O818" s="7"/>
    </row>
    <row r="819" spans="1:15" x14ac:dyDescent="0.25">
      <c r="A819" t="s">
        <v>827</v>
      </c>
      <c r="B819" t="s">
        <v>28</v>
      </c>
      <c r="C819" t="s">
        <v>9</v>
      </c>
      <c r="D819">
        <v>9</v>
      </c>
      <c r="E819">
        <v>30000</v>
      </c>
      <c r="F819">
        <v>1.98315374035101</v>
      </c>
      <c r="G819">
        <v>69.510832930078706</v>
      </c>
      <c r="H819">
        <v>3500</v>
      </c>
      <c r="I819">
        <v>600</v>
      </c>
      <c r="J819">
        <v>150</v>
      </c>
      <c r="K819" t="str">
        <f t="shared" si="36"/>
        <v>New York → Sydney</v>
      </c>
      <c r="L819" s="5">
        <f t="shared" si="37"/>
        <v>66.666666666666671</v>
      </c>
      <c r="M819" s="7">
        <f t="shared" si="38"/>
        <v>90000</v>
      </c>
      <c r="N819" s="7"/>
      <c r="O819" s="7"/>
    </row>
    <row r="820" spans="1:15" x14ac:dyDescent="0.25">
      <c r="A820" t="s">
        <v>828</v>
      </c>
      <c r="B820" t="s">
        <v>4</v>
      </c>
      <c r="C820" t="s">
        <v>2</v>
      </c>
      <c r="D820">
        <v>9</v>
      </c>
      <c r="E820">
        <v>30000</v>
      </c>
      <c r="F820">
        <v>-128.13163703524799</v>
      </c>
      <c r="G820">
        <v>-7.4666588063372403</v>
      </c>
      <c r="H820">
        <v>2000</v>
      </c>
      <c r="I820">
        <v>600</v>
      </c>
      <c r="J820">
        <v>50</v>
      </c>
      <c r="K820" t="str">
        <f t="shared" si="36"/>
        <v>Miami → Tokyo</v>
      </c>
      <c r="L820" s="5">
        <f t="shared" si="37"/>
        <v>66.666666666666671</v>
      </c>
      <c r="M820" s="7">
        <f t="shared" si="38"/>
        <v>30000</v>
      </c>
      <c r="N820" s="7"/>
      <c r="O820" s="7"/>
    </row>
    <row r="821" spans="1:15" x14ac:dyDescent="0.25">
      <c r="A821" t="s">
        <v>829</v>
      </c>
      <c r="B821" t="s">
        <v>1</v>
      </c>
      <c r="C821" t="s">
        <v>13</v>
      </c>
      <c r="D821">
        <v>5</v>
      </c>
      <c r="E821">
        <v>32000</v>
      </c>
      <c r="F821">
        <v>44.639454790433703</v>
      </c>
      <c r="G821">
        <v>11.626315008023401</v>
      </c>
      <c r="H821">
        <v>2647</v>
      </c>
      <c r="I821">
        <v>600</v>
      </c>
      <c r="J821">
        <v>150</v>
      </c>
      <c r="K821" t="str">
        <f t="shared" si="36"/>
        <v>Houston → Paris</v>
      </c>
      <c r="L821" s="5">
        <f t="shared" si="37"/>
        <v>120</v>
      </c>
      <c r="M821" s="7">
        <f t="shared" si="38"/>
        <v>90000</v>
      </c>
      <c r="N821" s="7"/>
      <c r="O821" s="7"/>
    </row>
    <row r="822" spans="1:15" x14ac:dyDescent="0.25">
      <c r="A822" t="s">
        <v>830</v>
      </c>
      <c r="B822" t="s">
        <v>28</v>
      </c>
      <c r="C822" t="s">
        <v>13</v>
      </c>
      <c r="D822">
        <v>9</v>
      </c>
      <c r="E822">
        <v>30000</v>
      </c>
      <c r="F822">
        <v>-81.489449570122204</v>
      </c>
      <c r="G822">
        <v>29.344896670166499</v>
      </c>
      <c r="H822">
        <v>2847</v>
      </c>
      <c r="I822">
        <v>354</v>
      </c>
      <c r="J822">
        <v>122</v>
      </c>
      <c r="K822" t="str">
        <f t="shared" si="36"/>
        <v>New York → Paris</v>
      </c>
      <c r="L822" s="5">
        <f t="shared" si="37"/>
        <v>39.333333333333336</v>
      </c>
      <c r="M822" s="7">
        <f t="shared" si="38"/>
        <v>43188</v>
      </c>
      <c r="N822" s="7"/>
      <c r="O822" s="7"/>
    </row>
    <row r="823" spans="1:15" x14ac:dyDescent="0.25">
      <c r="A823" t="s">
        <v>831</v>
      </c>
      <c r="B823" t="s">
        <v>1</v>
      </c>
      <c r="C823" t="s">
        <v>2</v>
      </c>
      <c r="D823">
        <v>15</v>
      </c>
      <c r="E823">
        <v>35000</v>
      </c>
      <c r="F823">
        <v>-4.37964532415549</v>
      </c>
      <c r="G823">
        <v>32.231988809214698</v>
      </c>
      <c r="H823">
        <v>2550</v>
      </c>
      <c r="I823">
        <v>397</v>
      </c>
      <c r="J823">
        <v>100</v>
      </c>
      <c r="K823" t="str">
        <f t="shared" si="36"/>
        <v>Houston → Tokyo</v>
      </c>
      <c r="L823" s="5">
        <f t="shared" si="37"/>
        <v>26.466666666666665</v>
      </c>
      <c r="M823" s="7">
        <f t="shared" si="38"/>
        <v>39700</v>
      </c>
      <c r="N823" s="7"/>
      <c r="O823" s="7"/>
    </row>
    <row r="824" spans="1:15" x14ac:dyDescent="0.25">
      <c r="A824" t="s">
        <v>832</v>
      </c>
      <c r="B824" t="s">
        <v>11</v>
      </c>
      <c r="C824" t="s">
        <v>13</v>
      </c>
      <c r="D824">
        <v>8</v>
      </c>
      <c r="E824">
        <v>30000</v>
      </c>
      <c r="F824">
        <v>-150.381963260258</v>
      </c>
      <c r="G824">
        <v>77.713272596971507</v>
      </c>
      <c r="H824">
        <v>2882</v>
      </c>
      <c r="I824">
        <v>354</v>
      </c>
      <c r="J824">
        <v>125</v>
      </c>
      <c r="K824" t="str">
        <f t="shared" si="36"/>
        <v>Los Angeles → Paris</v>
      </c>
      <c r="L824" s="5">
        <f t="shared" si="37"/>
        <v>44.25</v>
      </c>
      <c r="M824" s="7">
        <f t="shared" si="38"/>
        <v>44250</v>
      </c>
      <c r="N824" s="7"/>
      <c r="O824" s="7"/>
    </row>
    <row r="825" spans="1:15" x14ac:dyDescent="0.25">
      <c r="A825" t="s">
        <v>833</v>
      </c>
      <c r="B825" t="s">
        <v>6</v>
      </c>
      <c r="C825" t="s">
        <v>9</v>
      </c>
      <c r="D825">
        <v>9</v>
      </c>
      <c r="E825">
        <v>30000</v>
      </c>
      <c r="F825">
        <v>-14.5497394030957</v>
      </c>
      <c r="G825">
        <v>89.450895134100506</v>
      </c>
      <c r="H825">
        <v>2678</v>
      </c>
      <c r="I825">
        <v>356</v>
      </c>
      <c r="J825">
        <v>137</v>
      </c>
      <c r="K825" t="str">
        <f t="shared" si="36"/>
        <v>Chicago → Sydney</v>
      </c>
      <c r="L825" s="5">
        <f t="shared" si="37"/>
        <v>39.555555555555557</v>
      </c>
      <c r="M825" s="7">
        <f t="shared" si="38"/>
        <v>48772</v>
      </c>
      <c r="N825" s="7"/>
      <c r="O825" s="7"/>
    </row>
    <row r="826" spans="1:15" x14ac:dyDescent="0.25">
      <c r="A826" t="s">
        <v>834</v>
      </c>
      <c r="B826" t="s">
        <v>28</v>
      </c>
      <c r="C826" t="s">
        <v>15</v>
      </c>
      <c r="D826">
        <v>9</v>
      </c>
      <c r="E826">
        <v>30000</v>
      </c>
      <c r="F826">
        <v>-69.673151504584695</v>
      </c>
      <c r="G826">
        <v>39.628342967569203</v>
      </c>
      <c r="H826">
        <v>2760</v>
      </c>
      <c r="I826">
        <v>374</v>
      </c>
      <c r="J826">
        <v>107</v>
      </c>
      <c r="K826" t="str">
        <f t="shared" si="36"/>
        <v>New York → London</v>
      </c>
      <c r="L826" s="5">
        <f t="shared" si="37"/>
        <v>41.555555555555557</v>
      </c>
      <c r="M826" s="7">
        <f t="shared" si="38"/>
        <v>40018</v>
      </c>
      <c r="N826" s="7"/>
      <c r="O826" s="7"/>
    </row>
    <row r="827" spans="1:15" x14ac:dyDescent="0.25">
      <c r="A827" t="s">
        <v>835</v>
      </c>
      <c r="B827" t="s">
        <v>4</v>
      </c>
      <c r="C827" t="s">
        <v>9</v>
      </c>
      <c r="D827">
        <v>7</v>
      </c>
      <c r="E827">
        <v>35000</v>
      </c>
      <c r="F827">
        <v>116.057236026727</v>
      </c>
      <c r="G827">
        <v>-38.300182343072798</v>
      </c>
      <c r="H827">
        <v>3000</v>
      </c>
      <c r="I827">
        <v>150</v>
      </c>
      <c r="J827">
        <v>200</v>
      </c>
      <c r="K827" t="str">
        <f t="shared" si="36"/>
        <v>Miami → Sydney</v>
      </c>
      <c r="L827" s="5">
        <f t="shared" si="37"/>
        <v>21.428571428571427</v>
      </c>
      <c r="M827" s="7">
        <f t="shared" si="38"/>
        <v>30000</v>
      </c>
      <c r="N827" s="7"/>
      <c r="O827" s="7"/>
    </row>
    <row r="828" spans="1:15" x14ac:dyDescent="0.25">
      <c r="A828" t="s">
        <v>836</v>
      </c>
      <c r="B828" t="s">
        <v>11</v>
      </c>
      <c r="C828" t="s">
        <v>9</v>
      </c>
      <c r="D828">
        <v>8</v>
      </c>
      <c r="E828">
        <v>30000</v>
      </c>
      <c r="F828">
        <v>-159.48765828094699</v>
      </c>
      <c r="G828">
        <v>68.355432412981898</v>
      </c>
      <c r="H828">
        <v>3000</v>
      </c>
      <c r="I828">
        <v>356</v>
      </c>
      <c r="J828">
        <v>145</v>
      </c>
      <c r="K828" t="str">
        <f t="shared" si="36"/>
        <v>Los Angeles → Sydney</v>
      </c>
      <c r="L828" s="5">
        <f t="shared" si="37"/>
        <v>44.5</v>
      </c>
      <c r="M828" s="7">
        <f t="shared" si="38"/>
        <v>51620</v>
      </c>
      <c r="N828" s="7"/>
      <c r="O828" s="7"/>
    </row>
    <row r="829" spans="1:15" x14ac:dyDescent="0.25">
      <c r="A829" t="s">
        <v>837</v>
      </c>
      <c r="B829" t="s">
        <v>1</v>
      </c>
      <c r="C829" t="s">
        <v>13</v>
      </c>
      <c r="D829">
        <v>9</v>
      </c>
      <c r="E829">
        <v>30000</v>
      </c>
      <c r="F829">
        <v>-29.301381029401199</v>
      </c>
      <c r="G829">
        <v>-81.140235382662894</v>
      </c>
      <c r="H829">
        <v>2647</v>
      </c>
      <c r="I829">
        <v>354</v>
      </c>
      <c r="J829">
        <v>113</v>
      </c>
      <c r="K829" t="str">
        <f t="shared" si="36"/>
        <v>Houston → Paris</v>
      </c>
      <c r="L829" s="5">
        <f t="shared" si="37"/>
        <v>39.333333333333336</v>
      </c>
      <c r="M829" s="7">
        <f t="shared" si="38"/>
        <v>40002</v>
      </c>
      <c r="N829" s="7"/>
      <c r="O829" s="7"/>
    </row>
    <row r="830" spans="1:15" x14ac:dyDescent="0.25">
      <c r="A830" t="s">
        <v>838</v>
      </c>
      <c r="B830" t="s">
        <v>11</v>
      </c>
      <c r="C830" t="s">
        <v>15</v>
      </c>
      <c r="D830">
        <v>8</v>
      </c>
      <c r="E830">
        <v>32000</v>
      </c>
      <c r="F830">
        <v>-14.964687312682299</v>
      </c>
      <c r="G830">
        <v>-48.405446482590698</v>
      </c>
      <c r="H830">
        <v>3000</v>
      </c>
      <c r="I830">
        <v>450</v>
      </c>
      <c r="J830">
        <v>200</v>
      </c>
      <c r="K830" t="str">
        <f t="shared" si="36"/>
        <v>Los Angeles → London</v>
      </c>
      <c r="L830" s="5">
        <f t="shared" si="37"/>
        <v>56.25</v>
      </c>
      <c r="M830" s="7">
        <f t="shared" si="38"/>
        <v>90000</v>
      </c>
      <c r="N830" s="7"/>
      <c r="O830" s="7"/>
    </row>
    <row r="831" spans="1:15" x14ac:dyDescent="0.25">
      <c r="A831" t="s">
        <v>839</v>
      </c>
      <c r="B831" t="s">
        <v>28</v>
      </c>
      <c r="C831" t="s">
        <v>13</v>
      </c>
      <c r="D831">
        <v>9</v>
      </c>
      <c r="E831">
        <v>30000</v>
      </c>
      <c r="F831">
        <v>81.002187467682703</v>
      </c>
      <c r="G831">
        <v>71.529429143468704</v>
      </c>
      <c r="H831">
        <v>2847</v>
      </c>
      <c r="I831">
        <v>354</v>
      </c>
      <c r="J831">
        <v>122</v>
      </c>
      <c r="K831" t="str">
        <f t="shared" si="36"/>
        <v>New York → Paris</v>
      </c>
      <c r="L831" s="5">
        <f t="shared" si="37"/>
        <v>39.333333333333336</v>
      </c>
      <c r="M831" s="7">
        <f t="shared" si="38"/>
        <v>43188</v>
      </c>
      <c r="N831" s="7"/>
      <c r="O831" s="7"/>
    </row>
    <row r="832" spans="1:15" x14ac:dyDescent="0.25">
      <c r="A832" t="s">
        <v>840</v>
      </c>
      <c r="B832" t="s">
        <v>1</v>
      </c>
      <c r="C832" t="s">
        <v>20</v>
      </c>
      <c r="D832">
        <v>9</v>
      </c>
      <c r="E832">
        <v>32000</v>
      </c>
      <c r="F832">
        <v>26.7435270324759</v>
      </c>
      <c r="G832">
        <v>-43.885527400916096</v>
      </c>
      <c r="H832">
        <v>2500</v>
      </c>
      <c r="I832">
        <v>402</v>
      </c>
      <c r="J832">
        <v>111</v>
      </c>
      <c r="K832" t="str">
        <f t="shared" si="36"/>
        <v>Houston → Dubai</v>
      </c>
      <c r="L832" s="5">
        <f t="shared" si="37"/>
        <v>44.666666666666664</v>
      </c>
      <c r="M832" s="7">
        <f t="shared" si="38"/>
        <v>44622</v>
      </c>
      <c r="N832" s="7"/>
      <c r="O832" s="7"/>
    </row>
    <row r="833" spans="1:15" x14ac:dyDescent="0.25">
      <c r="A833" t="s">
        <v>841</v>
      </c>
      <c r="B833" t="s">
        <v>6</v>
      </c>
      <c r="C833" t="s">
        <v>13</v>
      </c>
      <c r="D833">
        <v>9</v>
      </c>
      <c r="E833">
        <v>35000</v>
      </c>
      <c r="F833">
        <v>60.196441389905203</v>
      </c>
      <c r="G833">
        <v>-50.282809268085302</v>
      </c>
      <c r="H833">
        <v>3000</v>
      </c>
      <c r="I833">
        <v>300</v>
      </c>
      <c r="J833">
        <v>50</v>
      </c>
      <c r="K833" t="str">
        <f t="shared" si="36"/>
        <v>Chicago → Paris</v>
      </c>
      <c r="L833" s="5">
        <f t="shared" si="37"/>
        <v>33.333333333333336</v>
      </c>
      <c r="M833" s="7">
        <f t="shared" si="38"/>
        <v>15000</v>
      </c>
      <c r="N833" s="7"/>
      <c r="O833" s="7"/>
    </row>
    <row r="834" spans="1:15" x14ac:dyDescent="0.25">
      <c r="A834" t="s">
        <v>842</v>
      </c>
      <c r="B834" t="s">
        <v>11</v>
      </c>
      <c r="C834" t="s">
        <v>13</v>
      </c>
      <c r="D834">
        <v>15</v>
      </c>
      <c r="E834">
        <v>30000</v>
      </c>
      <c r="F834">
        <v>99.737742834632201</v>
      </c>
      <c r="G834">
        <v>-65.137447234755498</v>
      </c>
      <c r="H834">
        <v>2000</v>
      </c>
      <c r="I834">
        <v>300</v>
      </c>
      <c r="J834">
        <v>200</v>
      </c>
      <c r="K834" t="str">
        <f t="shared" si="36"/>
        <v>Los Angeles → Paris</v>
      </c>
      <c r="L834" s="5">
        <f t="shared" si="37"/>
        <v>20</v>
      </c>
      <c r="M834" s="7">
        <f t="shared" si="38"/>
        <v>60000</v>
      </c>
      <c r="N834" s="7"/>
      <c r="O834" s="7"/>
    </row>
    <row r="835" spans="1:15" x14ac:dyDescent="0.25">
      <c r="A835" t="s">
        <v>843</v>
      </c>
      <c r="B835" t="s">
        <v>28</v>
      </c>
      <c r="C835" t="s">
        <v>13</v>
      </c>
      <c r="D835">
        <v>5</v>
      </c>
      <c r="E835">
        <v>30000</v>
      </c>
      <c r="F835">
        <v>130.393070516948</v>
      </c>
      <c r="G835">
        <v>64.640116376444993</v>
      </c>
      <c r="H835">
        <v>2847</v>
      </c>
      <c r="I835">
        <v>150</v>
      </c>
      <c r="J835">
        <v>50</v>
      </c>
      <c r="K835" t="str">
        <f t="shared" ref="K835:K898" si="39">B835 &amp; " → " &amp; C835</f>
        <v>New York → Paris</v>
      </c>
      <c r="L835" s="5">
        <f t="shared" ref="L835:L898" si="40">I835/D835</f>
        <v>30</v>
      </c>
      <c r="M835" s="7">
        <f t="shared" ref="M835:M898" si="41">I835*J835</f>
        <v>7500</v>
      </c>
      <c r="N835" s="7"/>
      <c r="O835" s="7"/>
    </row>
    <row r="836" spans="1:15" x14ac:dyDescent="0.25">
      <c r="A836" t="s">
        <v>844</v>
      </c>
      <c r="B836" t="s">
        <v>4</v>
      </c>
      <c r="C836" t="s">
        <v>15</v>
      </c>
      <c r="D836">
        <v>9</v>
      </c>
      <c r="E836">
        <v>30000</v>
      </c>
      <c r="F836">
        <v>-67.004821179910607</v>
      </c>
      <c r="G836">
        <v>1.04866543956064E-2</v>
      </c>
      <c r="H836">
        <v>2500</v>
      </c>
      <c r="I836">
        <v>450</v>
      </c>
      <c r="J836">
        <v>150</v>
      </c>
      <c r="K836" t="str">
        <f t="shared" si="39"/>
        <v>Miami → London</v>
      </c>
      <c r="L836" s="5">
        <f t="shared" si="40"/>
        <v>50</v>
      </c>
      <c r="M836" s="7">
        <f t="shared" si="41"/>
        <v>67500</v>
      </c>
      <c r="N836" s="7"/>
      <c r="O836" s="7"/>
    </row>
    <row r="837" spans="1:15" x14ac:dyDescent="0.25">
      <c r="A837" t="s">
        <v>845</v>
      </c>
      <c r="B837" t="s">
        <v>1</v>
      </c>
      <c r="C837" t="s">
        <v>13</v>
      </c>
      <c r="D837">
        <v>5</v>
      </c>
      <c r="E837">
        <v>35000</v>
      </c>
      <c r="F837">
        <v>13.688173931005</v>
      </c>
      <c r="G837">
        <v>31.480776549747901</v>
      </c>
      <c r="H837">
        <v>3500</v>
      </c>
      <c r="I837">
        <v>150</v>
      </c>
      <c r="J837">
        <v>100</v>
      </c>
      <c r="K837" t="str">
        <f t="shared" si="39"/>
        <v>Houston → Paris</v>
      </c>
      <c r="L837" s="5">
        <f t="shared" si="40"/>
        <v>30</v>
      </c>
      <c r="M837" s="7">
        <f t="shared" si="41"/>
        <v>15000</v>
      </c>
      <c r="N837" s="7"/>
      <c r="O837" s="7"/>
    </row>
    <row r="838" spans="1:15" x14ac:dyDescent="0.25">
      <c r="A838" t="s">
        <v>846</v>
      </c>
      <c r="B838" t="s">
        <v>11</v>
      </c>
      <c r="C838" t="s">
        <v>15</v>
      </c>
      <c r="D838">
        <v>8</v>
      </c>
      <c r="E838">
        <v>30000</v>
      </c>
      <c r="F838">
        <v>122.43890823811201</v>
      </c>
      <c r="G838">
        <v>-46.9680508664947</v>
      </c>
      <c r="H838">
        <v>2760</v>
      </c>
      <c r="I838">
        <v>374</v>
      </c>
      <c r="J838">
        <v>131</v>
      </c>
      <c r="K838" t="str">
        <f t="shared" si="39"/>
        <v>Los Angeles → London</v>
      </c>
      <c r="L838" s="5">
        <f t="shared" si="40"/>
        <v>46.75</v>
      </c>
      <c r="M838" s="7">
        <f t="shared" si="41"/>
        <v>48994</v>
      </c>
      <c r="N838" s="7"/>
      <c r="O838" s="7"/>
    </row>
    <row r="839" spans="1:15" x14ac:dyDescent="0.25">
      <c r="A839" t="s">
        <v>847</v>
      </c>
      <c r="B839" t="s">
        <v>11</v>
      </c>
      <c r="C839" t="s">
        <v>2</v>
      </c>
      <c r="D839">
        <v>10</v>
      </c>
      <c r="E839">
        <v>30000</v>
      </c>
      <c r="F839">
        <v>176.20240714741999</v>
      </c>
      <c r="G839">
        <v>46.447275782018998</v>
      </c>
      <c r="H839">
        <v>2586</v>
      </c>
      <c r="I839">
        <v>397</v>
      </c>
      <c r="J839">
        <v>119</v>
      </c>
      <c r="K839" t="str">
        <f t="shared" si="39"/>
        <v>Los Angeles → Tokyo</v>
      </c>
      <c r="L839" s="5">
        <f t="shared" si="40"/>
        <v>39.700000000000003</v>
      </c>
      <c r="M839" s="7">
        <f t="shared" si="41"/>
        <v>47243</v>
      </c>
      <c r="N839" s="7"/>
      <c r="O839" s="7"/>
    </row>
    <row r="840" spans="1:15" x14ac:dyDescent="0.25">
      <c r="A840" t="s">
        <v>848</v>
      </c>
      <c r="B840" t="s">
        <v>6</v>
      </c>
      <c r="C840" t="s">
        <v>20</v>
      </c>
      <c r="D840">
        <v>12</v>
      </c>
      <c r="E840">
        <v>32000</v>
      </c>
      <c r="F840">
        <v>140.22695197575499</v>
      </c>
      <c r="G840">
        <v>46.800998093177697</v>
      </c>
      <c r="H840">
        <v>2500</v>
      </c>
      <c r="I840">
        <v>300</v>
      </c>
      <c r="J840">
        <v>50</v>
      </c>
      <c r="K840" t="str">
        <f t="shared" si="39"/>
        <v>Chicago → Dubai</v>
      </c>
      <c r="L840" s="5">
        <f t="shared" si="40"/>
        <v>25</v>
      </c>
      <c r="M840" s="7">
        <f t="shared" si="41"/>
        <v>15000</v>
      </c>
      <c r="N840" s="7"/>
      <c r="O840" s="7"/>
    </row>
    <row r="841" spans="1:15" x14ac:dyDescent="0.25">
      <c r="A841" t="s">
        <v>849</v>
      </c>
      <c r="B841" t="s">
        <v>6</v>
      </c>
      <c r="C841" t="s">
        <v>15</v>
      </c>
      <c r="D841">
        <v>7</v>
      </c>
      <c r="E841">
        <v>30000</v>
      </c>
      <c r="F841">
        <v>-46.271785455224297</v>
      </c>
      <c r="G841">
        <v>-33.732355516505997</v>
      </c>
      <c r="H841">
        <v>3500</v>
      </c>
      <c r="I841">
        <v>450</v>
      </c>
      <c r="J841">
        <v>50</v>
      </c>
      <c r="K841" t="str">
        <f t="shared" si="39"/>
        <v>Chicago → London</v>
      </c>
      <c r="L841" s="5">
        <f t="shared" si="40"/>
        <v>64.285714285714292</v>
      </c>
      <c r="M841" s="7">
        <f t="shared" si="41"/>
        <v>22500</v>
      </c>
      <c r="N841" s="7"/>
      <c r="O841" s="7"/>
    </row>
    <row r="842" spans="1:15" x14ac:dyDescent="0.25">
      <c r="A842" t="s">
        <v>850</v>
      </c>
      <c r="B842" t="s">
        <v>4</v>
      </c>
      <c r="C842" t="s">
        <v>2</v>
      </c>
      <c r="D842">
        <v>7</v>
      </c>
      <c r="E842">
        <v>30000</v>
      </c>
      <c r="F842">
        <v>-109.740053801286</v>
      </c>
      <c r="G842">
        <v>-16.077126058149101</v>
      </c>
      <c r="H842">
        <v>3000</v>
      </c>
      <c r="I842">
        <v>600</v>
      </c>
      <c r="J842">
        <v>100</v>
      </c>
      <c r="K842" t="str">
        <f t="shared" si="39"/>
        <v>Miami → Tokyo</v>
      </c>
      <c r="L842" s="5">
        <f t="shared" si="40"/>
        <v>85.714285714285708</v>
      </c>
      <c r="M842" s="7">
        <f t="shared" si="41"/>
        <v>60000</v>
      </c>
      <c r="N842" s="7"/>
      <c r="O842" s="7"/>
    </row>
    <row r="843" spans="1:15" x14ac:dyDescent="0.25">
      <c r="A843" t="s">
        <v>851</v>
      </c>
      <c r="B843" t="s">
        <v>4</v>
      </c>
      <c r="C843" t="s">
        <v>15</v>
      </c>
      <c r="D843">
        <v>8</v>
      </c>
      <c r="E843">
        <v>30000</v>
      </c>
      <c r="F843">
        <v>-3.8186865336280702</v>
      </c>
      <c r="G843">
        <v>-52.255750062563799</v>
      </c>
      <c r="H843">
        <v>2000</v>
      </c>
      <c r="I843">
        <v>600</v>
      </c>
      <c r="J843">
        <v>50</v>
      </c>
      <c r="K843" t="str">
        <f t="shared" si="39"/>
        <v>Miami → London</v>
      </c>
      <c r="L843" s="5">
        <f t="shared" si="40"/>
        <v>75</v>
      </c>
      <c r="M843" s="7">
        <f t="shared" si="41"/>
        <v>30000</v>
      </c>
      <c r="N843" s="7"/>
      <c r="O843" s="7"/>
    </row>
    <row r="844" spans="1:15" x14ac:dyDescent="0.25">
      <c r="A844" t="s">
        <v>852</v>
      </c>
      <c r="B844" t="s">
        <v>28</v>
      </c>
      <c r="C844" t="s">
        <v>15</v>
      </c>
      <c r="D844">
        <v>9</v>
      </c>
      <c r="E844">
        <v>35000</v>
      </c>
      <c r="F844">
        <v>86.990922660975201</v>
      </c>
      <c r="G844">
        <v>85.780984198122795</v>
      </c>
      <c r="H844">
        <v>3000</v>
      </c>
      <c r="I844">
        <v>600</v>
      </c>
      <c r="J844">
        <v>107</v>
      </c>
      <c r="K844" t="str">
        <f t="shared" si="39"/>
        <v>New York → London</v>
      </c>
      <c r="L844" s="5">
        <f t="shared" si="40"/>
        <v>66.666666666666671</v>
      </c>
      <c r="M844" s="7">
        <f t="shared" si="41"/>
        <v>64200</v>
      </c>
      <c r="N844" s="7"/>
      <c r="O844" s="7"/>
    </row>
    <row r="845" spans="1:15" x14ac:dyDescent="0.25">
      <c r="A845" t="s">
        <v>853</v>
      </c>
      <c r="B845" t="s">
        <v>28</v>
      </c>
      <c r="C845" t="s">
        <v>20</v>
      </c>
      <c r="D845">
        <v>15</v>
      </c>
      <c r="E845">
        <v>32000</v>
      </c>
      <c r="F845">
        <v>-2.6751345288128601</v>
      </c>
      <c r="G845">
        <v>26.208463870514102</v>
      </c>
      <c r="H845">
        <v>2000</v>
      </c>
      <c r="I845">
        <v>402</v>
      </c>
      <c r="J845">
        <v>134</v>
      </c>
      <c r="K845" t="str">
        <f t="shared" si="39"/>
        <v>New York → Dubai</v>
      </c>
      <c r="L845" s="5">
        <f t="shared" si="40"/>
        <v>26.8</v>
      </c>
      <c r="M845" s="7">
        <f t="shared" si="41"/>
        <v>53868</v>
      </c>
      <c r="N845" s="7"/>
      <c r="O845" s="7"/>
    </row>
    <row r="846" spans="1:15" x14ac:dyDescent="0.25">
      <c r="A846" t="s">
        <v>854</v>
      </c>
      <c r="B846" t="s">
        <v>4</v>
      </c>
      <c r="C846" t="s">
        <v>9</v>
      </c>
      <c r="D846">
        <v>9</v>
      </c>
      <c r="E846">
        <v>30000</v>
      </c>
      <c r="F846">
        <v>-6.0548892070793299</v>
      </c>
      <c r="G846">
        <v>78.217898528792801</v>
      </c>
      <c r="H846">
        <v>3000</v>
      </c>
      <c r="I846">
        <v>300</v>
      </c>
      <c r="J846">
        <v>50</v>
      </c>
      <c r="K846" t="str">
        <f t="shared" si="39"/>
        <v>Miami → Sydney</v>
      </c>
      <c r="L846" s="5">
        <f t="shared" si="40"/>
        <v>33.333333333333336</v>
      </c>
      <c r="M846" s="7">
        <f t="shared" si="41"/>
        <v>15000</v>
      </c>
      <c r="N846" s="7"/>
      <c r="O846" s="7"/>
    </row>
    <row r="847" spans="1:15" x14ac:dyDescent="0.25">
      <c r="A847" t="s">
        <v>855</v>
      </c>
      <c r="B847" t="s">
        <v>4</v>
      </c>
      <c r="C847" t="s">
        <v>9</v>
      </c>
      <c r="D847">
        <v>10</v>
      </c>
      <c r="E847">
        <v>30000</v>
      </c>
      <c r="F847">
        <v>121.76295158944799</v>
      </c>
      <c r="G847">
        <v>-35.390602146756002</v>
      </c>
      <c r="H847">
        <v>2931</v>
      </c>
      <c r="I847">
        <v>356</v>
      </c>
      <c r="J847">
        <v>105</v>
      </c>
      <c r="K847" t="str">
        <f t="shared" si="39"/>
        <v>Miami → Sydney</v>
      </c>
      <c r="L847" s="5">
        <f t="shared" si="40"/>
        <v>35.6</v>
      </c>
      <c r="M847" s="7">
        <f t="shared" si="41"/>
        <v>37380</v>
      </c>
      <c r="N847" s="7"/>
      <c r="O847" s="7"/>
    </row>
    <row r="848" spans="1:15" x14ac:dyDescent="0.25">
      <c r="A848" t="s">
        <v>856</v>
      </c>
      <c r="B848" t="s">
        <v>1</v>
      </c>
      <c r="C848" t="s">
        <v>15</v>
      </c>
      <c r="D848">
        <v>12</v>
      </c>
      <c r="E848">
        <v>30000</v>
      </c>
      <c r="F848">
        <v>-49.8946395358129</v>
      </c>
      <c r="G848">
        <v>50.740364339440198</v>
      </c>
      <c r="H848">
        <v>2500</v>
      </c>
      <c r="I848">
        <v>374</v>
      </c>
      <c r="J848">
        <v>200</v>
      </c>
      <c r="K848" t="str">
        <f t="shared" si="39"/>
        <v>Houston → London</v>
      </c>
      <c r="L848" s="5">
        <f t="shared" si="40"/>
        <v>31.166666666666668</v>
      </c>
      <c r="M848" s="7">
        <f t="shared" si="41"/>
        <v>74800</v>
      </c>
      <c r="N848" s="7"/>
      <c r="O848" s="7"/>
    </row>
    <row r="849" spans="1:15" x14ac:dyDescent="0.25">
      <c r="A849" t="s">
        <v>857</v>
      </c>
      <c r="B849" t="s">
        <v>6</v>
      </c>
      <c r="C849" t="s">
        <v>13</v>
      </c>
      <c r="D849">
        <v>15</v>
      </c>
      <c r="E849">
        <v>32000</v>
      </c>
      <c r="F849">
        <v>129.526082932192</v>
      </c>
      <c r="G849">
        <v>47.854555899253597</v>
      </c>
      <c r="H849">
        <v>2928</v>
      </c>
      <c r="I849">
        <v>150</v>
      </c>
      <c r="J849">
        <v>121</v>
      </c>
      <c r="K849" t="str">
        <f t="shared" si="39"/>
        <v>Chicago → Paris</v>
      </c>
      <c r="L849" s="5">
        <f t="shared" si="40"/>
        <v>10</v>
      </c>
      <c r="M849" s="7">
        <f t="shared" si="41"/>
        <v>18150</v>
      </c>
      <c r="N849" s="7"/>
      <c r="O849" s="7"/>
    </row>
    <row r="850" spans="1:15" x14ac:dyDescent="0.25">
      <c r="A850" t="s">
        <v>858</v>
      </c>
      <c r="B850" t="s">
        <v>28</v>
      </c>
      <c r="C850" t="s">
        <v>2</v>
      </c>
      <c r="D850">
        <v>5</v>
      </c>
      <c r="E850">
        <v>35000</v>
      </c>
      <c r="F850">
        <v>-33.550271657379497</v>
      </c>
      <c r="G850">
        <v>34.498017335977501</v>
      </c>
      <c r="H850">
        <v>3500</v>
      </c>
      <c r="I850">
        <v>600</v>
      </c>
      <c r="J850">
        <v>50</v>
      </c>
      <c r="K850" t="str">
        <f t="shared" si="39"/>
        <v>New York → Tokyo</v>
      </c>
      <c r="L850" s="5">
        <f t="shared" si="40"/>
        <v>120</v>
      </c>
      <c r="M850" s="7">
        <f t="shared" si="41"/>
        <v>30000</v>
      </c>
      <c r="N850" s="7"/>
      <c r="O850" s="7"/>
    </row>
    <row r="851" spans="1:15" x14ac:dyDescent="0.25">
      <c r="A851" t="s">
        <v>859</v>
      </c>
      <c r="B851" t="s">
        <v>6</v>
      </c>
      <c r="C851" t="s">
        <v>13</v>
      </c>
      <c r="D851">
        <v>10</v>
      </c>
      <c r="E851">
        <v>30000</v>
      </c>
      <c r="F851">
        <v>-61.836081955797802</v>
      </c>
      <c r="G851">
        <v>83.815015548024107</v>
      </c>
      <c r="H851">
        <v>2928</v>
      </c>
      <c r="I851">
        <v>354</v>
      </c>
      <c r="J851">
        <v>121</v>
      </c>
      <c r="K851" t="str">
        <f t="shared" si="39"/>
        <v>Chicago → Paris</v>
      </c>
      <c r="L851" s="5">
        <f t="shared" si="40"/>
        <v>35.4</v>
      </c>
      <c r="M851" s="7">
        <f t="shared" si="41"/>
        <v>42834</v>
      </c>
      <c r="N851" s="7"/>
      <c r="O851" s="7"/>
    </row>
    <row r="852" spans="1:15" x14ac:dyDescent="0.25">
      <c r="A852" t="s">
        <v>860</v>
      </c>
      <c r="B852" t="s">
        <v>6</v>
      </c>
      <c r="C852" t="s">
        <v>13</v>
      </c>
      <c r="D852">
        <v>10</v>
      </c>
      <c r="E852">
        <v>30000</v>
      </c>
      <c r="F852">
        <v>-16.5636319681084</v>
      </c>
      <c r="G852">
        <v>-19.160039500863199</v>
      </c>
      <c r="H852">
        <v>3500</v>
      </c>
      <c r="I852">
        <v>150</v>
      </c>
      <c r="J852">
        <v>200</v>
      </c>
      <c r="K852" t="str">
        <f t="shared" si="39"/>
        <v>Chicago → Paris</v>
      </c>
      <c r="L852" s="5">
        <f t="shared" si="40"/>
        <v>15</v>
      </c>
      <c r="M852" s="7">
        <f t="shared" si="41"/>
        <v>30000</v>
      </c>
      <c r="N852" s="7"/>
      <c r="O852" s="7"/>
    </row>
    <row r="853" spans="1:15" x14ac:dyDescent="0.25">
      <c r="A853" t="s">
        <v>861</v>
      </c>
      <c r="B853" t="s">
        <v>4</v>
      </c>
      <c r="C853" t="s">
        <v>15</v>
      </c>
      <c r="D853">
        <v>7</v>
      </c>
      <c r="E853">
        <v>32000</v>
      </c>
      <c r="F853">
        <v>94.480905122952706</v>
      </c>
      <c r="G853">
        <v>-66.470881753843699</v>
      </c>
      <c r="H853">
        <v>2000</v>
      </c>
      <c r="I853">
        <v>450</v>
      </c>
      <c r="J853">
        <v>100</v>
      </c>
      <c r="K853" t="str">
        <f t="shared" si="39"/>
        <v>Miami → London</v>
      </c>
      <c r="L853" s="5">
        <f t="shared" si="40"/>
        <v>64.285714285714292</v>
      </c>
      <c r="M853" s="7">
        <f t="shared" si="41"/>
        <v>45000</v>
      </c>
      <c r="N853" s="7"/>
      <c r="O853" s="7"/>
    </row>
    <row r="854" spans="1:15" x14ac:dyDescent="0.25">
      <c r="A854" t="s">
        <v>862</v>
      </c>
      <c r="B854" t="s">
        <v>1</v>
      </c>
      <c r="C854" t="s">
        <v>15</v>
      </c>
      <c r="D854">
        <v>8</v>
      </c>
      <c r="E854">
        <v>30000</v>
      </c>
      <c r="F854">
        <v>-134.639269968962</v>
      </c>
      <c r="G854">
        <v>30.907594663930901</v>
      </c>
      <c r="H854">
        <v>2846</v>
      </c>
      <c r="I854">
        <v>374</v>
      </c>
      <c r="J854">
        <v>138</v>
      </c>
      <c r="K854" t="str">
        <f t="shared" si="39"/>
        <v>Houston → London</v>
      </c>
      <c r="L854" s="5">
        <f t="shared" si="40"/>
        <v>46.75</v>
      </c>
      <c r="M854" s="7">
        <f t="shared" si="41"/>
        <v>51612</v>
      </c>
      <c r="N854" s="7"/>
      <c r="O854" s="7"/>
    </row>
    <row r="855" spans="1:15" x14ac:dyDescent="0.25">
      <c r="A855" t="s">
        <v>863</v>
      </c>
      <c r="B855" t="s">
        <v>11</v>
      </c>
      <c r="C855" t="s">
        <v>15</v>
      </c>
      <c r="D855">
        <v>9</v>
      </c>
      <c r="E855">
        <v>30000</v>
      </c>
      <c r="F855">
        <v>-109.28908228607401</v>
      </c>
      <c r="G855">
        <v>41.275764085897102</v>
      </c>
      <c r="H855">
        <v>3500</v>
      </c>
      <c r="I855">
        <v>300</v>
      </c>
      <c r="J855">
        <v>100</v>
      </c>
      <c r="K855" t="str">
        <f t="shared" si="39"/>
        <v>Los Angeles → London</v>
      </c>
      <c r="L855" s="5">
        <f t="shared" si="40"/>
        <v>33.333333333333336</v>
      </c>
      <c r="M855" s="7">
        <f t="shared" si="41"/>
        <v>30000</v>
      </c>
      <c r="N855" s="7"/>
      <c r="O855" s="7"/>
    </row>
    <row r="856" spans="1:15" x14ac:dyDescent="0.25">
      <c r="A856" t="s">
        <v>864</v>
      </c>
      <c r="B856" t="s">
        <v>1</v>
      </c>
      <c r="C856" t="s">
        <v>15</v>
      </c>
      <c r="D856">
        <v>12</v>
      </c>
      <c r="E856">
        <v>30000</v>
      </c>
      <c r="F856">
        <v>162.520137238713</v>
      </c>
      <c r="G856">
        <v>13.510903222586601</v>
      </c>
      <c r="H856">
        <v>2500</v>
      </c>
      <c r="I856">
        <v>374</v>
      </c>
      <c r="J856">
        <v>150</v>
      </c>
      <c r="K856" t="str">
        <f t="shared" si="39"/>
        <v>Houston → London</v>
      </c>
      <c r="L856" s="5">
        <f t="shared" si="40"/>
        <v>31.166666666666668</v>
      </c>
      <c r="M856" s="7">
        <f t="shared" si="41"/>
        <v>56100</v>
      </c>
      <c r="N856" s="7"/>
      <c r="O856" s="7"/>
    </row>
    <row r="857" spans="1:15" x14ac:dyDescent="0.25">
      <c r="A857" t="s">
        <v>865</v>
      </c>
      <c r="B857" t="s">
        <v>1</v>
      </c>
      <c r="C857" t="s">
        <v>9</v>
      </c>
      <c r="D857">
        <v>12</v>
      </c>
      <c r="E857">
        <v>35000</v>
      </c>
      <c r="F857">
        <v>-116.823014142711</v>
      </c>
      <c r="G857">
        <v>-52.7727792359887</v>
      </c>
      <c r="H857">
        <v>3000</v>
      </c>
      <c r="I857">
        <v>300</v>
      </c>
      <c r="J857">
        <v>100</v>
      </c>
      <c r="K857" t="str">
        <f t="shared" si="39"/>
        <v>Houston → Sydney</v>
      </c>
      <c r="L857" s="5">
        <f t="shared" si="40"/>
        <v>25</v>
      </c>
      <c r="M857" s="7">
        <f t="shared" si="41"/>
        <v>30000</v>
      </c>
      <c r="N857" s="7"/>
      <c r="O857" s="7"/>
    </row>
    <row r="858" spans="1:15" x14ac:dyDescent="0.25">
      <c r="A858" t="s">
        <v>866</v>
      </c>
      <c r="B858" t="s">
        <v>6</v>
      </c>
      <c r="C858" t="s">
        <v>15</v>
      </c>
      <c r="D858">
        <v>5</v>
      </c>
      <c r="E858">
        <v>30000</v>
      </c>
      <c r="F858">
        <v>24.3818344551796</v>
      </c>
      <c r="G858">
        <v>0.80206950048396697</v>
      </c>
      <c r="H858">
        <v>3500</v>
      </c>
      <c r="I858">
        <v>450</v>
      </c>
      <c r="J858">
        <v>50</v>
      </c>
      <c r="K858" t="str">
        <f t="shared" si="39"/>
        <v>Chicago → London</v>
      </c>
      <c r="L858" s="5">
        <f t="shared" si="40"/>
        <v>90</v>
      </c>
      <c r="M858" s="7">
        <f t="shared" si="41"/>
        <v>22500</v>
      </c>
      <c r="N858" s="7"/>
      <c r="O858" s="7"/>
    </row>
    <row r="859" spans="1:15" x14ac:dyDescent="0.25">
      <c r="A859" t="s">
        <v>867</v>
      </c>
      <c r="B859" t="s">
        <v>1</v>
      </c>
      <c r="C859" t="s">
        <v>9</v>
      </c>
      <c r="D859">
        <v>9</v>
      </c>
      <c r="E859">
        <v>30000</v>
      </c>
      <c r="F859">
        <v>28.553207998297601</v>
      </c>
      <c r="G859">
        <v>-33.805847417556699</v>
      </c>
      <c r="H859">
        <v>2500</v>
      </c>
      <c r="I859">
        <v>150</v>
      </c>
      <c r="J859">
        <v>50</v>
      </c>
      <c r="K859" t="str">
        <f t="shared" si="39"/>
        <v>Houston → Sydney</v>
      </c>
      <c r="L859" s="5">
        <f t="shared" si="40"/>
        <v>16.666666666666668</v>
      </c>
      <c r="M859" s="7">
        <f t="shared" si="41"/>
        <v>7500</v>
      </c>
      <c r="N859" s="7"/>
      <c r="O859" s="7"/>
    </row>
    <row r="860" spans="1:15" x14ac:dyDescent="0.25">
      <c r="A860" t="s">
        <v>868</v>
      </c>
      <c r="B860" t="s">
        <v>28</v>
      </c>
      <c r="C860" t="s">
        <v>9</v>
      </c>
      <c r="D860">
        <v>7</v>
      </c>
      <c r="E860">
        <v>32000</v>
      </c>
      <c r="F860">
        <v>-3.73519366191187</v>
      </c>
      <c r="G860">
        <v>-13.056024929995999</v>
      </c>
      <c r="H860">
        <v>3500</v>
      </c>
      <c r="I860">
        <v>300</v>
      </c>
      <c r="J860">
        <v>150</v>
      </c>
      <c r="K860" t="str">
        <f t="shared" si="39"/>
        <v>New York → Sydney</v>
      </c>
      <c r="L860" s="5">
        <f t="shared" si="40"/>
        <v>42.857142857142854</v>
      </c>
      <c r="M860" s="7">
        <f t="shared" si="41"/>
        <v>45000</v>
      </c>
      <c r="N860" s="7"/>
      <c r="O860" s="7"/>
    </row>
    <row r="861" spans="1:15" x14ac:dyDescent="0.25">
      <c r="A861" t="s">
        <v>869</v>
      </c>
      <c r="B861" t="s">
        <v>6</v>
      </c>
      <c r="C861" t="s">
        <v>15</v>
      </c>
      <c r="D861">
        <v>9</v>
      </c>
      <c r="E861">
        <v>30000</v>
      </c>
      <c r="F861">
        <v>52.108289487654702</v>
      </c>
      <c r="G861">
        <v>26.1393436520395</v>
      </c>
      <c r="H861">
        <v>2678</v>
      </c>
      <c r="I861">
        <v>374</v>
      </c>
      <c r="J861">
        <v>116</v>
      </c>
      <c r="K861" t="str">
        <f t="shared" si="39"/>
        <v>Chicago → London</v>
      </c>
      <c r="L861" s="5">
        <f t="shared" si="40"/>
        <v>41.555555555555557</v>
      </c>
      <c r="M861" s="7">
        <f t="shared" si="41"/>
        <v>43384</v>
      </c>
      <c r="N861" s="7"/>
      <c r="O861" s="7"/>
    </row>
    <row r="862" spans="1:15" x14ac:dyDescent="0.25">
      <c r="A862" t="s">
        <v>870</v>
      </c>
      <c r="B862" t="s">
        <v>28</v>
      </c>
      <c r="C862" t="s">
        <v>20</v>
      </c>
      <c r="D862">
        <v>12</v>
      </c>
      <c r="E862">
        <v>30000</v>
      </c>
      <c r="F862">
        <v>-97.262378712857398</v>
      </c>
      <c r="G862">
        <v>44.138653684350203</v>
      </c>
      <c r="H862">
        <v>2000</v>
      </c>
      <c r="I862">
        <v>600</v>
      </c>
      <c r="J862">
        <v>150</v>
      </c>
      <c r="K862" t="str">
        <f t="shared" si="39"/>
        <v>New York → Dubai</v>
      </c>
      <c r="L862" s="5">
        <f t="shared" si="40"/>
        <v>50</v>
      </c>
      <c r="M862" s="7">
        <f t="shared" si="41"/>
        <v>90000</v>
      </c>
      <c r="N862" s="7"/>
      <c r="O862" s="7"/>
    </row>
    <row r="863" spans="1:15" x14ac:dyDescent="0.25">
      <c r="A863" t="s">
        <v>871</v>
      </c>
      <c r="B863" t="s">
        <v>11</v>
      </c>
      <c r="C863" t="s">
        <v>2</v>
      </c>
      <c r="D863">
        <v>5</v>
      </c>
      <c r="E863">
        <v>30000</v>
      </c>
      <c r="F863">
        <v>18.9584163996294</v>
      </c>
      <c r="G863">
        <v>-48.199555637758202</v>
      </c>
      <c r="H863">
        <v>2000</v>
      </c>
      <c r="I863">
        <v>150</v>
      </c>
      <c r="J863">
        <v>150</v>
      </c>
      <c r="K863" t="str">
        <f t="shared" si="39"/>
        <v>Los Angeles → Tokyo</v>
      </c>
      <c r="L863" s="5">
        <f t="shared" si="40"/>
        <v>30</v>
      </c>
      <c r="M863" s="7">
        <f t="shared" si="41"/>
        <v>22500</v>
      </c>
      <c r="N863" s="7"/>
      <c r="O863" s="7"/>
    </row>
    <row r="864" spans="1:15" x14ac:dyDescent="0.25">
      <c r="A864" t="s">
        <v>872</v>
      </c>
      <c r="B864" t="s">
        <v>6</v>
      </c>
      <c r="C864" t="s">
        <v>13</v>
      </c>
      <c r="D864">
        <v>15</v>
      </c>
      <c r="E864">
        <v>35000</v>
      </c>
      <c r="F864">
        <v>-46.017628111116998</v>
      </c>
      <c r="G864">
        <v>-17.0414350835484</v>
      </c>
      <c r="H864">
        <v>3500</v>
      </c>
      <c r="I864">
        <v>450</v>
      </c>
      <c r="J864">
        <v>50</v>
      </c>
      <c r="K864" t="str">
        <f t="shared" si="39"/>
        <v>Chicago → Paris</v>
      </c>
      <c r="L864" s="5">
        <f t="shared" si="40"/>
        <v>30</v>
      </c>
      <c r="M864" s="7">
        <f t="shared" si="41"/>
        <v>22500</v>
      </c>
      <c r="N864" s="7"/>
      <c r="O864" s="7"/>
    </row>
    <row r="865" spans="1:15" x14ac:dyDescent="0.25">
      <c r="A865" t="s">
        <v>873</v>
      </c>
      <c r="B865" t="s">
        <v>11</v>
      </c>
      <c r="C865" t="s">
        <v>9</v>
      </c>
      <c r="D865">
        <v>7</v>
      </c>
      <c r="E865">
        <v>30000</v>
      </c>
      <c r="F865">
        <v>58.200213466508103</v>
      </c>
      <c r="G865">
        <v>-41.550917221506701</v>
      </c>
      <c r="H865">
        <v>2500</v>
      </c>
      <c r="I865">
        <v>600</v>
      </c>
      <c r="J865">
        <v>145</v>
      </c>
      <c r="K865" t="str">
        <f t="shared" si="39"/>
        <v>Los Angeles → Sydney</v>
      </c>
      <c r="L865" s="5">
        <f t="shared" si="40"/>
        <v>85.714285714285708</v>
      </c>
      <c r="M865" s="7">
        <f t="shared" si="41"/>
        <v>87000</v>
      </c>
      <c r="N865" s="7"/>
      <c r="O865" s="7"/>
    </row>
    <row r="866" spans="1:15" x14ac:dyDescent="0.25">
      <c r="A866" t="s">
        <v>874</v>
      </c>
      <c r="B866" t="s">
        <v>6</v>
      </c>
      <c r="C866" t="s">
        <v>2</v>
      </c>
      <c r="D866">
        <v>8</v>
      </c>
      <c r="E866">
        <v>32000</v>
      </c>
      <c r="F866">
        <v>-129.159524385666</v>
      </c>
      <c r="G866">
        <v>-54.246309504863603</v>
      </c>
      <c r="H866">
        <v>2583</v>
      </c>
      <c r="I866">
        <v>600</v>
      </c>
      <c r="J866">
        <v>150</v>
      </c>
      <c r="K866" t="str">
        <f t="shared" si="39"/>
        <v>Chicago → Tokyo</v>
      </c>
      <c r="L866" s="5">
        <f t="shared" si="40"/>
        <v>75</v>
      </c>
      <c r="M866" s="7">
        <f t="shared" si="41"/>
        <v>90000</v>
      </c>
      <c r="N866" s="7"/>
      <c r="O866" s="7"/>
    </row>
    <row r="867" spans="1:15" x14ac:dyDescent="0.25">
      <c r="A867" t="s">
        <v>875</v>
      </c>
      <c r="B867" t="s">
        <v>4</v>
      </c>
      <c r="C867" t="s">
        <v>20</v>
      </c>
      <c r="D867">
        <v>9</v>
      </c>
      <c r="E867">
        <v>30000</v>
      </c>
      <c r="F867">
        <v>25.515870062211398</v>
      </c>
      <c r="G867">
        <v>51.009699599250901</v>
      </c>
      <c r="H867">
        <v>2700</v>
      </c>
      <c r="I867">
        <v>402</v>
      </c>
      <c r="J867">
        <v>128</v>
      </c>
      <c r="K867" t="str">
        <f t="shared" si="39"/>
        <v>Miami → Dubai</v>
      </c>
      <c r="L867" s="5">
        <f t="shared" si="40"/>
        <v>44.666666666666664</v>
      </c>
      <c r="M867" s="7">
        <f t="shared" si="41"/>
        <v>51456</v>
      </c>
      <c r="N867" s="7"/>
      <c r="O867" s="7"/>
    </row>
    <row r="868" spans="1:15" x14ac:dyDescent="0.25">
      <c r="A868" t="s">
        <v>876</v>
      </c>
      <c r="B868" t="s">
        <v>1</v>
      </c>
      <c r="C868" t="s">
        <v>13</v>
      </c>
      <c r="D868">
        <v>9</v>
      </c>
      <c r="E868">
        <v>30000</v>
      </c>
      <c r="F868">
        <v>-113.302672062003</v>
      </c>
      <c r="G868">
        <v>73.665484998658599</v>
      </c>
      <c r="H868">
        <v>2647</v>
      </c>
      <c r="I868">
        <v>354</v>
      </c>
      <c r="J868">
        <v>113</v>
      </c>
      <c r="K868" t="str">
        <f t="shared" si="39"/>
        <v>Houston → Paris</v>
      </c>
      <c r="L868" s="5">
        <f t="shared" si="40"/>
        <v>39.333333333333336</v>
      </c>
      <c r="M868" s="7">
        <f t="shared" si="41"/>
        <v>40002</v>
      </c>
      <c r="N868" s="7"/>
      <c r="O868" s="7"/>
    </row>
    <row r="869" spans="1:15" x14ac:dyDescent="0.25">
      <c r="A869" t="s">
        <v>877</v>
      </c>
      <c r="B869" t="s">
        <v>4</v>
      </c>
      <c r="C869" t="s">
        <v>13</v>
      </c>
      <c r="D869">
        <v>8</v>
      </c>
      <c r="E869">
        <v>30000</v>
      </c>
      <c r="F869">
        <v>-79.688497278586894</v>
      </c>
      <c r="G869">
        <v>-23.358206576776201</v>
      </c>
      <c r="H869">
        <v>2718</v>
      </c>
      <c r="I869">
        <v>354</v>
      </c>
      <c r="J869">
        <v>115</v>
      </c>
      <c r="K869" t="str">
        <f t="shared" si="39"/>
        <v>Miami → Paris</v>
      </c>
      <c r="L869" s="5">
        <f t="shared" si="40"/>
        <v>44.25</v>
      </c>
      <c r="M869" s="7">
        <f t="shared" si="41"/>
        <v>40710</v>
      </c>
      <c r="N869" s="7"/>
      <c r="O869" s="7"/>
    </row>
    <row r="870" spans="1:15" x14ac:dyDescent="0.25">
      <c r="A870" t="s">
        <v>878</v>
      </c>
      <c r="B870" t="s">
        <v>11</v>
      </c>
      <c r="C870" t="s">
        <v>9</v>
      </c>
      <c r="D870">
        <v>8</v>
      </c>
      <c r="E870">
        <v>30000</v>
      </c>
      <c r="F870">
        <v>-101.26447188351</v>
      </c>
      <c r="G870">
        <v>45.230206387278002</v>
      </c>
      <c r="H870">
        <v>3000</v>
      </c>
      <c r="I870">
        <v>356</v>
      </c>
      <c r="J870">
        <v>145</v>
      </c>
      <c r="K870" t="str">
        <f t="shared" si="39"/>
        <v>Los Angeles → Sydney</v>
      </c>
      <c r="L870" s="5">
        <f t="shared" si="40"/>
        <v>44.5</v>
      </c>
      <c r="M870" s="7">
        <f t="shared" si="41"/>
        <v>51620</v>
      </c>
      <c r="N870" s="7"/>
      <c r="O870" s="7"/>
    </row>
    <row r="871" spans="1:15" x14ac:dyDescent="0.25">
      <c r="A871" t="s">
        <v>879</v>
      </c>
      <c r="B871" t="s">
        <v>1</v>
      </c>
      <c r="C871" t="s">
        <v>15</v>
      </c>
      <c r="D871">
        <v>7</v>
      </c>
      <c r="E871">
        <v>30000</v>
      </c>
      <c r="F871">
        <v>-114.178399247226</v>
      </c>
      <c r="G871">
        <v>71.459152085593999</v>
      </c>
      <c r="H871">
        <v>3500</v>
      </c>
      <c r="I871">
        <v>450</v>
      </c>
      <c r="J871">
        <v>200</v>
      </c>
      <c r="K871" t="str">
        <f t="shared" si="39"/>
        <v>Houston → London</v>
      </c>
      <c r="L871" s="5">
        <f t="shared" si="40"/>
        <v>64.285714285714292</v>
      </c>
      <c r="M871" s="7">
        <f t="shared" si="41"/>
        <v>90000</v>
      </c>
      <c r="N871" s="7"/>
      <c r="O871" s="7"/>
    </row>
    <row r="872" spans="1:15" x14ac:dyDescent="0.25">
      <c r="A872" t="s">
        <v>880</v>
      </c>
      <c r="B872" t="s">
        <v>6</v>
      </c>
      <c r="C872" t="s">
        <v>20</v>
      </c>
      <c r="D872">
        <v>15</v>
      </c>
      <c r="E872">
        <v>30000</v>
      </c>
      <c r="F872">
        <v>117.25594256184</v>
      </c>
      <c r="G872">
        <v>62.302357895441702</v>
      </c>
      <c r="H872">
        <v>2500</v>
      </c>
      <c r="I872">
        <v>600</v>
      </c>
      <c r="J872">
        <v>200</v>
      </c>
      <c r="K872" t="str">
        <f t="shared" si="39"/>
        <v>Chicago → Dubai</v>
      </c>
      <c r="L872" s="5">
        <f t="shared" si="40"/>
        <v>40</v>
      </c>
      <c r="M872" s="7">
        <f t="shared" si="41"/>
        <v>120000</v>
      </c>
      <c r="N872" s="7"/>
      <c r="O872" s="7"/>
    </row>
    <row r="873" spans="1:15" x14ac:dyDescent="0.25">
      <c r="A873" t="s">
        <v>881</v>
      </c>
      <c r="B873" t="s">
        <v>1</v>
      </c>
      <c r="C873" t="s">
        <v>9</v>
      </c>
      <c r="D873">
        <v>12</v>
      </c>
      <c r="E873">
        <v>30000</v>
      </c>
      <c r="F873">
        <v>-77.145275642079497</v>
      </c>
      <c r="G873">
        <v>-57.093590062939299</v>
      </c>
      <c r="H873">
        <v>2500</v>
      </c>
      <c r="I873">
        <v>356</v>
      </c>
      <c r="J873">
        <v>127</v>
      </c>
      <c r="K873" t="str">
        <f t="shared" si="39"/>
        <v>Houston → Sydney</v>
      </c>
      <c r="L873" s="5">
        <f t="shared" si="40"/>
        <v>29.666666666666668</v>
      </c>
      <c r="M873" s="7">
        <f t="shared" si="41"/>
        <v>45212</v>
      </c>
      <c r="N873" s="7"/>
      <c r="O873" s="7"/>
    </row>
    <row r="874" spans="1:15" x14ac:dyDescent="0.25">
      <c r="A874" t="s">
        <v>882</v>
      </c>
      <c r="B874" t="s">
        <v>28</v>
      </c>
      <c r="C874" t="s">
        <v>20</v>
      </c>
      <c r="D874">
        <v>11</v>
      </c>
      <c r="E874">
        <v>30000</v>
      </c>
      <c r="F874">
        <v>153.764561471202</v>
      </c>
      <c r="G874">
        <v>82.132538672405005</v>
      </c>
      <c r="H874">
        <v>2588</v>
      </c>
      <c r="I874">
        <v>402</v>
      </c>
      <c r="J874">
        <v>134</v>
      </c>
      <c r="K874" t="str">
        <f t="shared" si="39"/>
        <v>New York → Dubai</v>
      </c>
      <c r="L874" s="5">
        <f t="shared" si="40"/>
        <v>36.545454545454547</v>
      </c>
      <c r="M874" s="7">
        <f t="shared" si="41"/>
        <v>53868</v>
      </c>
      <c r="N874" s="7"/>
      <c r="O874" s="7"/>
    </row>
    <row r="875" spans="1:15" x14ac:dyDescent="0.25">
      <c r="A875" t="s">
        <v>883</v>
      </c>
      <c r="B875" t="s">
        <v>1</v>
      </c>
      <c r="C875" t="s">
        <v>15</v>
      </c>
      <c r="D875">
        <v>8</v>
      </c>
      <c r="E875">
        <v>32000</v>
      </c>
      <c r="F875">
        <v>169.17354912426899</v>
      </c>
      <c r="G875">
        <v>-22.198240722696699</v>
      </c>
      <c r="H875">
        <v>3500</v>
      </c>
      <c r="I875">
        <v>600</v>
      </c>
      <c r="J875">
        <v>50</v>
      </c>
      <c r="K875" t="str">
        <f t="shared" si="39"/>
        <v>Houston → London</v>
      </c>
      <c r="L875" s="5">
        <f t="shared" si="40"/>
        <v>75</v>
      </c>
      <c r="M875" s="7">
        <f t="shared" si="41"/>
        <v>30000</v>
      </c>
      <c r="N875" s="7"/>
      <c r="O875" s="7"/>
    </row>
    <row r="876" spans="1:15" x14ac:dyDescent="0.25">
      <c r="A876" t="s">
        <v>884</v>
      </c>
      <c r="B876" t="s">
        <v>28</v>
      </c>
      <c r="C876" t="s">
        <v>15</v>
      </c>
      <c r="D876">
        <v>5</v>
      </c>
      <c r="E876">
        <v>32000</v>
      </c>
      <c r="F876">
        <v>25.653769177354999</v>
      </c>
      <c r="G876">
        <v>-28.936680988709501</v>
      </c>
      <c r="H876">
        <v>2500</v>
      </c>
      <c r="I876">
        <v>450</v>
      </c>
      <c r="J876">
        <v>100</v>
      </c>
      <c r="K876" t="str">
        <f t="shared" si="39"/>
        <v>New York → London</v>
      </c>
      <c r="L876" s="5">
        <f t="shared" si="40"/>
        <v>90</v>
      </c>
      <c r="M876" s="7">
        <f t="shared" si="41"/>
        <v>45000</v>
      </c>
      <c r="N876" s="7"/>
      <c r="O876" s="7"/>
    </row>
    <row r="877" spans="1:15" x14ac:dyDescent="0.25">
      <c r="A877" t="s">
        <v>885</v>
      </c>
      <c r="B877" t="s">
        <v>1</v>
      </c>
      <c r="C877" t="s">
        <v>9</v>
      </c>
      <c r="D877">
        <v>15</v>
      </c>
      <c r="E877">
        <v>30000</v>
      </c>
      <c r="F877">
        <v>-128.51959584033801</v>
      </c>
      <c r="G877">
        <v>-78.762361089999501</v>
      </c>
      <c r="H877">
        <v>2000</v>
      </c>
      <c r="I877">
        <v>300</v>
      </c>
      <c r="J877">
        <v>50</v>
      </c>
      <c r="K877" t="str">
        <f t="shared" si="39"/>
        <v>Houston → Sydney</v>
      </c>
      <c r="L877" s="5">
        <f t="shared" si="40"/>
        <v>20</v>
      </c>
      <c r="M877" s="7">
        <f t="shared" si="41"/>
        <v>15000</v>
      </c>
      <c r="N877" s="7"/>
      <c r="O877" s="7"/>
    </row>
    <row r="878" spans="1:15" x14ac:dyDescent="0.25">
      <c r="A878" t="s">
        <v>886</v>
      </c>
      <c r="B878" t="s">
        <v>28</v>
      </c>
      <c r="C878" t="s">
        <v>15</v>
      </c>
      <c r="D878">
        <v>9</v>
      </c>
      <c r="E878">
        <v>30000</v>
      </c>
      <c r="F878">
        <v>-45.162632383350697</v>
      </c>
      <c r="G878">
        <v>-2.4887422611210601</v>
      </c>
      <c r="H878">
        <v>3500</v>
      </c>
      <c r="I878">
        <v>300</v>
      </c>
      <c r="J878">
        <v>100</v>
      </c>
      <c r="K878" t="str">
        <f t="shared" si="39"/>
        <v>New York → London</v>
      </c>
      <c r="L878" s="5">
        <f t="shared" si="40"/>
        <v>33.333333333333336</v>
      </c>
      <c r="M878" s="7">
        <f t="shared" si="41"/>
        <v>30000</v>
      </c>
      <c r="N878" s="7"/>
      <c r="O878" s="7"/>
    </row>
    <row r="879" spans="1:15" x14ac:dyDescent="0.25">
      <c r="A879" t="s">
        <v>887</v>
      </c>
      <c r="B879" t="s">
        <v>11</v>
      </c>
      <c r="C879" t="s">
        <v>2</v>
      </c>
      <c r="D879">
        <v>12</v>
      </c>
      <c r="E879">
        <v>30000</v>
      </c>
      <c r="F879">
        <v>107.183614805357</v>
      </c>
      <c r="G879">
        <v>-70.377549184632798</v>
      </c>
      <c r="H879">
        <v>2000</v>
      </c>
      <c r="I879">
        <v>600</v>
      </c>
      <c r="J879">
        <v>100</v>
      </c>
      <c r="K879" t="str">
        <f t="shared" si="39"/>
        <v>Los Angeles → Tokyo</v>
      </c>
      <c r="L879" s="5">
        <f t="shared" si="40"/>
        <v>50</v>
      </c>
      <c r="M879" s="7">
        <f t="shared" si="41"/>
        <v>60000</v>
      </c>
      <c r="N879" s="7"/>
      <c r="O879" s="7"/>
    </row>
    <row r="880" spans="1:15" x14ac:dyDescent="0.25">
      <c r="A880" t="s">
        <v>888</v>
      </c>
      <c r="B880" t="s">
        <v>4</v>
      </c>
      <c r="C880" t="s">
        <v>13</v>
      </c>
      <c r="D880">
        <v>7</v>
      </c>
      <c r="E880">
        <v>30000</v>
      </c>
      <c r="F880">
        <v>-47.739337669054599</v>
      </c>
      <c r="G880">
        <v>-45.2628322330633</v>
      </c>
      <c r="H880">
        <v>3000</v>
      </c>
      <c r="I880">
        <v>300</v>
      </c>
      <c r="J880">
        <v>150</v>
      </c>
      <c r="K880" t="str">
        <f t="shared" si="39"/>
        <v>Miami → Paris</v>
      </c>
      <c r="L880" s="5">
        <f t="shared" si="40"/>
        <v>42.857142857142854</v>
      </c>
      <c r="M880" s="7">
        <f t="shared" si="41"/>
        <v>45000</v>
      </c>
      <c r="N880" s="7"/>
      <c r="O880" s="7"/>
    </row>
    <row r="881" spans="1:15" x14ac:dyDescent="0.25">
      <c r="A881" t="s">
        <v>889</v>
      </c>
      <c r="B881" t="s">
        <v>6</v>
      </c>
      <c r="C881" t="s">
        <v>9</v>
      </c>
      <c r="D881">
        <v>9</v>
      </c>
      <c r="E881">
        <v>30000</v>
      </c>
      <c r="F881">
        <v>-148.67380141099599</v>
      </c>
      <c r="G881">
        <v>-32.950328081889403</v>
      </c>
      <c r="H881">
        <v>2678</v>
      </c>
      <c r="I881">
        <v>356</v>
      </c>
      <c r="J881">
        <v>137</v>
      </c>
      <c r="K881" t="str">
        <f t="shared" si="39"/>
        <v>Chicago → Sydney</v>
      </c>
      <c r="L881" s="5">
        <f t="shared" si="40"/>
        <v>39.555555555555557</v>
      </c>
      <c r="M881" s="7">
        <f t="shared" si="41"/>
        <v>48772</v>
      </c>
      <c r="N881" s="7"/>
      <c r="O881" s="7"/>
    </row>
    <row r="882" spans="1:15" x14ac:dyDescent="0.25">
      <c r="A882" t="s">
        <v>890</v>
      </c>
      <c r="B882" t="s">
        <v>1</v>
      </c>
      <c r="C882" t="s">
        <v>20</v>
      </c>
      <c r="D882">
        <v>9</v>
      </c>
      <c r="E882">
        <v>35000</v>
      </c>
      <c r="F882">
        <v>20.4425679341477</v>
      </c>
      <c r="G882">
        <v>55.588738228503097</v>
      </c>
      <c r="H882">
        <v>3000</v>
      </c>
      <c r="I882">
        <v>402</v>
      </c>
      <c r="J882">
        <v>50</v>
      </c>
      <c r="K882" t="str">
        <f t="shared" si="39"/>
        <v>Houston → Dubai</v>
      </c>
      <c r="L882" s="5">
        <f t="shared" si="40"/>
        <v>44.666666666666664</v>
      </c>
      <c r="M882" s="7">
        <f t="shared" si="41"/>
        <v>20100</v>
      </c>
      <c r="N882" s="7"/>
      <c r="O882" s="7"/>
    </row>
    <row r="883" spans="1:15" x14ac:dyDescent="0.25">
      <c r="A883" t="s">
        <v>891</v>
      </c>
      <c r="B883" t="s">
        <v>4</v>
      </c>
      <c r="C883" t="s">
        <v>2</v>
      </c>
      <c r="D883">
        <v>7</v>
      </c>
      <c r="E883">
        <v>30000</v>
      </c>
      <c r="F883">
        <v>124.243506538573</v>
      </c>
      <c r="G883">
        <v>67.5879570712614</v>
      </c>
      <c r="H883">
        <v>2500</v>
      </c>
      <c r="I883">
        <v>600</v>
      </c>
      <c r="J883">
        <v>126</v>
      </c>
      <c r="K883" t="str">
        <f t="shared" si="39"/>
        <v>Miami → Tokyo</v>
      </c>
      <c r="L883" s="5">
        <f t="shared" si="40"/>
        <v>85.714285714285708</v>
      </c>
      <c r="M883" s="7">
        <f t="shared" si="41"/>
        <v>75600</v>
      </c>
      <c r="N883" s="7"/>
      <c r="O883" s="7"/>
    </row>
    <row r="884" spans="1:15" x14ac:dyDescent="0.25">
      <c r="A884" t="s">
        <v>892</v>
      </c>
      <c r="B884" t="s">
        <v>6</v>
      </c>
      <c r="C884" t="s">
        <v>9</v>
      </c>
      <c r="D884">
        <v>7</v>
      </c>
      <c r="E884">
        <v>30000</v>
      </c>
      <c r="F884">
        <v>106.53349937166099</v>
      </c>
      <c r="G884">
        <v>-35.556062856935398</v>
      </c>
      <c r="H884">
        <v>2500</v>
      </c>
      <c r="I884">
        <v>450</v>
      </c>
      <c r="J884">
        <v>200</v>
      </c>
      <c r="K884" t="str">
        <f t="shared" si="39"/>
        <v>Chicago → Sydney</v>
      </c>
      <c r="L884" s="5">
        <f t="shared" si="40"/>
        <v>64.285714285714292</v>
      </c>
      <c r="M884" s="7">
        <f t="shared" si="41"/>
        <v>90000</v>
      </c>
      <c r="N884" s="7"/>
      <c r="O884" s="7"/>
    </row>
    <row r="885" spans="1:15" x14ac:dyDescent="0.25">
      <c r="A885" t="s">
        <v>893</v>
      </c>
      <c r="B885" t="s">
        <v>6</v>
      </c>
      <c r="C885" t="s">
        <v>15</v>
      </c>
      <c r="D885">
        <v>9</v>
      </c>
      <c r="E885">
        <v>30000</v>
      </c>
      <c r="F885">
        <v>-116.95566955307299</v>
      </c>
      <c r="G885">
        <v>64.565661824023294</v>
      </c>
      <c r="H885">
        <v>2678</v>
      </c>
      <c r="I885">
        <v>374</v>
      </c>
      <c r="J885">
        <v>116</v>
      </c>
      <c r="K885" t="str">
        <f t="shared" si="39"/>
        <v>Chicago → London</v>
      </c>
      <c r="L885" s="5">
        <f t="shared" si="40"/>
        <v>41.555555555555557</v>
      </c>
      <c r="M885" s="7">
        <f t="shared" si="41"/>
        <v>43384</v>
      </c>
      <c r="N885" s="7"/>
      <c r="O885" s="7"/>
    </row>
    <row r="886" spans="1:15" x14ac:dyDescent="0.25">
      <c r="A886" t="s">
        <v>894</v>
      </c>
      <c r="B886" t="s">
        <v>28</v>
      </c>
      <c r="C886" t="s">
        <v>15</v>
      </c>
      <c r="D886">
        <v>9</v>
      </c>
      <c r="E886">
        <v>30000</v>
      </c>
      <c r="F886">
        <v>62.195261188487997</v>
      </c>
      <c r="G886">
        <v>64.301568726562394</v>
      </c>
      <c r="H886">
        <v>2760</v>
      </c>
      <c r="I886">
        <v>374</v>
      </c>
      <c r="J886">
        <v>107</v>
      </c>
      <c r="K886" t="str">
        <f t="shared" si="39"/>
        <v>New York → London</v>
      </c>
      <c r="L886" s="5">
        <f t="shared" si="40"/>
        <v>41.555555555555557</v>
      </c>
      <c r="M886" s="7">
        <f t="shared" si="41"/>
        <v>40018</v>
      </c>
      <c r="N886" s="7"/>
      <c r="O886" s="7"/>
    </row>
    <row r="887" spans="1:15" x14ac:dyDescent="0.25">
      <c r="A887" t="s">
        <v>895</v>
      </c>
      <c r="B887" t="s">
        <v>11</v>
      </c>
      <c r="C887" t="s">
        <v>15</v>
      </c>
      <c r="D887">
        <v>8</v>
      </c>
      <c r="E887">
        <v>32000</v>
      </c>
      <c r="F887">
        <v>-100.618465163167</v>
      </c>
      <c r="G887">
        <v>47.637171069277201</v>
      </c>
      <c r="H887">
        <v>3000</v>
      </c>
      <c r="I887">
        <v>150</v>
      </c>
      <c r="J887">
        <v>200</v>
      </c>
      <c r="K887" t="str">
        <f t="shared" si="39"/>
        <v>Los Angeles → London</v>
      </c>
      <c r="L887" s="5">
        <f t="shared" si="40"/>
        <v>18.75</v>
      </c>
      <c r="M887" s="7">
        <f t="shared" si="41"/>
        <v>30000</v>
      </c>
      <c r="N887" s="7"/>
      <c r="O887" s="7"/>
    </row>
    <row r="888" spans="1:15" x14ac:dyDescent="0.25">
      <c r="A888" t="s">
        <v>896</v>
      </c>
      <c r="B888" t="s">
        <v>11</v>
      </c>
      <c r="C888" t="s">
        <v>15</v>
      </c>
      <c r="D888">
        <v>5</v>
      </c>
      <c r="E888">
        <v>32000</v>
      </c>
      <c r="F888">
        <v>-101.445287561218</v>
      </c>
      <c r="G888">
        <v>-63.594879477267298</v>
      </c>
      <c r="H888">
        <v>2500</v>
      </c>
      <c r="I888">
        <v>150</v>
      </c>
      <c r="J888">
        <v>50</v>
      </c>
      <c r="K888" t="str">
        <f t="shared" si="39"/>
        <v>Los Angeles → London</v>
      </c>
      <c r="L888" s="5">
        <f t="shared" si="40"/>
        <v>30</v>
      </c>
      <c r="M888" s="7">
        <f t="shared" si="41"/>
        <v>7500</v>
      </c>
      <c r="N888" s="7"/>
      <c r="O888" s="7"/>
    </row>
    <row r="889" spans="1:15" x14ac:dyDescent="0.25">
      <c r="A889" t="s">
        <v>897</v>
      </c>
      <c r="B889" t="s">
        <v>4</v>
      </c>
      <c r="C889" t="s">
        <v>20</v>
      </c>
      <c r="D889">
        <v>15</v>
      </c>
      <c r="E889">
        <v>30000</v>
      </c>
      <c r="F889">
        <v>134.66583838986699</v>
      </c>
      <c r="G889">
        <v>34.2581124421312</v>
      </c>
      <c r="H889">
        <v>3500</v>
      </c>
      <c r="I889">
        <v>300</v>
      </c>
      <c r="J889">
        <v>200</v>
      </c>
      <c r="K889" t="str">
        <f t="shared" si="39"/>
        <v>Miami → Dubai</v>
      </c>
      <c r="L889" s="5">
        <f t="shared" si="40"/>
        <v>20</v>
      </c>
      <c r="M889" s="7">
        <f t="shared" si="41"/>
        <v>60000</v>
      </c>
      <c r="N889" s="7"/>
      <c r="O889" s="7"/>
    </row>
    <row r="890" spans="1:15" x14ac:dyDescent="0.25">
      <c r="A890" t="s">
        <v>898</v>
      </c>
      <c r="B890" t="s">
        <v>11</v>
      </c>
      <c r="C890" t="s">
        <v>2</v>
      </c>
      <c r="D890">
        <v>12</v>
      </c>
      <c r="E890">
        <v>30000</v>
      </c>
      <c r="F890">
        <v>-90.119177013517103</v>
      </c>
      <c r="G890">
        <v>80.104331624502393</v>
      </c>
      <c r="H890">
        <v>2500</v>
      </c>
      <c r="I890">
        <v>300</v>
      </c>
      <c r="J890">
        <v>50</v>
      </c>
      <c r="K890" t="str">
        <f t="shared" si="39"/>
        <v>Los Angeles → Tokyo</v>
      </c>
      <c r="L890" s="5">
        <f t="shared" si="40"/>
        <v>25</v>
      </c>
      <c r="M890" s="7">
        <f t="shared" si="41"/>
        <v>15000</v>
      </c>
      <c r="N890" s="7"/>
      <c r="O890" s="7"/>
    </row>
    <row r="891" spans="1:15" x14ac:dyDescent="0.25">
      <c r="A891" t="s">
        <v>899</v>
      </c>
      <c r="B891" t="s">
        <v>1</v>
      </c>
      <c r="C891" t="s">
        <v>13</v>
      </c>
      <c r="D891">
        <v>9</v>
      </c>
      <c r="E891">
        <v>35000</v>
      </c>
      <c r="F891">
        <v>-85.230955253516001</v>
      </c>
      <c r="G891">
        <v>32.857286178088302</v>
      </c>
      <c r="H891">
        <v>2647</v>
      </c>
      <c r="I891">
        <v>150</v>
      </c>
      <c r="J891">
        <v>100</v>
      </c>
      <c r="K891" t="str">
        <f t="shared" si="39"/>
        <v>Houston → Paris</v>
      </c>
      <c r="L891" s="5">
        <f t="shared" si="40"/>
        <v>16.666666666666668</v>
      </c>
      <c r="M891" s="7">
        <f t="shared" si="41"/>
        <v>15000</v>
      </c>
      <c r="N891" s="7"/>
      <c r="O891" s="7"/>
    </row>
    <row r="892" spans="1:15" x14ac:dyDescent="0.25">
      <c r="A892" t="s">
        <v>900</v>
      </c>
      <c r="B892" t="s">
        <v>11</v>
      </c>
      <c r="C892" t="s">
        <v>20</v>
      </c>
      <c r="D892">
        <v>11</v>
      </c>
      <c r="E892">
        <v>30000</v>
      </c>
      <c r="F892">
        <v>-179.76477932593201</v>
      </c>
      <c r="G892">
        <v>-30.308967160589901</v>
      </c>
      <c r="H892">
        <v>2500</v>
      </c>
      <c r="I892">
        <v>402</v>
      </c>
      <c r="J892">
        <v>150</v>
      </c>
      <c r="K892" t="str">
        <f t="shared" si="39"/>
        <v>Los Angeles → Dubai</v>
      </c>
      <c r="L892" s="5">
        <f t="shared" si="40"/>
        <v>36.545454545454547</v>
      </c>
      <c r="M892" s="7">
        <f t="shared" si="41"/>
        <v>60300</v>
      </c>
      <c r="N892" s="7"/>
      <c r="O892" s="7"/>
    </row>
    <row r="893" spans="1:15" x14ac:dyDescent="0.25">
      <c r="A893" t="s">
        <v>901</v>
      </c>
      <c r="B893" t="s">
        <v>4</v>
      </c>
      <c r="C893" t="s">
        <v>20</v>
      </c>
      <c r="D893">
        <v>9</v>
      </c>
      <c r="E893">
        <v>32000</v>
      </c>
      <c r="F893">
        <v>133.440852285186</v>
      </c>
      <c r="G893">
        <v>0.10427713754963</v>
      </c>
      <c r="H893">
        <v>3000</v>
      </c>
      <c r="I893">
        <v>300</v>
      </c>
      <c r="J893">
        <v>50</v>
      </c>
      <c r="K893" t="str">
        <f t="shared" si="39"/>
        <v>Miami → Dubai</v>
      </c>
      <c r="L893" s="5">
        <f t="shared" si="40"/>
        <v>33.333333333333336</v>
      </c>
      <c r="M893" s="7">
        <f t="shared" si="41"/>
        <v>15000</v>
      </c>
      <c r="N893" s="7"/>
      <c r="O893" s="7"/>
    </row>
    <row r="894" spans="1:15" x14ac:dyDescent="0.25">
      <c r="A894" t="s">
        <v>902</v>
      </c>
      <c r="B894" t="s">
        <v>11</v>
      </c>
      <c r="C894" t="s">
        <v>13</v>
      </c>
      <c r="D894">
        <v>8</v>
      </c>
      <c r="E894">
        <v>30000</v>
      </c>
      <c r="F894">
        <v>105.334132755288</v>
      </c>
      <c r="G894">
        <v>26.2305078031896</v>
      </c>
      <c r="H894">
        <v>2882</v>
      </c>
      <c r="I894">
        <v>354</v>
      </c>
      <c r="J894">
        <v>125</v>
      </c>
      <c r="K894" t="str">
        <f t="shared" si="39"/>
        <v>Los Angeles → Paris</v>
      </c>
      <c r="L894" s="5">
        <f t="shared" si="40"/>
        <v>44.25</v>
      </c>
      <c r="M894" s="7">
        <f t="shared" si="41"/>
        <v>44250</v>
      </c>
      <c r="N894" s="7"/>
      <c r="O894" s="7"/>
    </row>
    <row r="895" spans="1:15" x14ac:dyDescent="0.25">
      <c r="A895" t="s">
        <v>903</v>
      </c>
      <c r="B895" t="s">
        <v>1</v>
      </c>
      <c r="C895" t="s">
        <v>13</v>
      </c>
      <c r="D895">
        <v>9</v>
      </c>
      <c r="E895">
        <v>30000</v>
      </c>
      <c r="F895">
        <v>45.838416632644098</v>
      </c>
      <c r="G895">
        <v>1.9026735711306499</v>
      </c>
      <c r="H895">
        <v>2647</v>
      </c>
      <c r="I895">
        <v>354</v>
      </c>
      <c r="J895">
        <v>113</v>
      </c>
      <c r="K895" t="str">
        <f t="shared" si="39"/>
        <v>Houston → Paris</v>
      </c>
      <c r="L895" s="5">
        <f t="shared" si="40"/>
        <v>39.333333333333336</v>
      </c>
      <c r="M895" s="7">
        <f t="shared" si="41"/>
        <v>40002</v>
      </c>
      <c r="N895" s="7"/>
      <c r="O895" s="7"/>
    </row>
    <row r="896" spans="1:15" x14ac:dyDescent="0.25">
      <c r="A896" t="s">
        <v>904</v>
      </c>
      <c r="B896" t="s">
        <v>28</v>
      </c>
      <c r="C896" t="s">
        <v>15</v>
      </c>
      <c r="D896">
        <v>9</v>
      </c>
      <c r="E896">
        <v>30000</v>
      </c>
      <c r="F896">
        <v>90.095675017983197</v>
      </c>
      <c r="G896">
        <v>-68.408470488425394</v>
      </c>
      <c r="H896">
        <v>2760</v>
      </c>
      <c r="I896">
        <v>374</v>
      </c>
      <c r="J896">
        <v>107</v>
      </c>
      <c r="K896" t="str">
        <f t="shared" si="39"/>
        <v>New York → London</v>
      </c>
      <c r="L896" s="5">
        <f t="shared" si="40"/>
        <v>41.555555555555557</v>
      </c>
      <c r="M896" s="7">
        <f t="shared" si="41"/>
        <v>40018</v>
      </c>
      <c r="N896" s="7"/>
      <c r="O896" s="7"/>
    </row>
    <row r="897" spans="1:15" x14ac:dyDescent="0.25">
      <c r="A897" t="s">
        <v>905</v>
      </c>
      <c r="B897" t="s">
        <v>4</v>
      </c>
      <c r="C897" t="s">
        <v>20</v>
      </c>
      <c r="D897">
        <v>9</v>
      </c>
      <c r="E897">
        <v>30000</v>
      </c>
      <c r="F897">
        <v>-125.262515727183</v>
      </c>
      <c r="G897">
        <v>-33.8284719626363</v>
      </c>
      <c r="H897">
        <v>2700</v>
      </c>
      <c r="I897">
        <v>402</v>
      </c>
      <c r="J897">
        <v>128</v>
      </c>
      <c r="K897" t="str">
        <f t="shared" si="39"/>
        <v>Miami → Dubai</v>
      </c>
      <c r="L897" s="5">
        <f t="shared" si="40"/>
        <v>44.666666666666664</v>
      </c>
      <c r="M897" s="7">
        <f t="shared" si="41"/>
        <v>51456</v>
      </c>
      <c r="N897" s="7"/>
      <c r="O897" s="7"/>
    </row>
    <row r="898" spans="1:15" x14ac:dyDescent="0.25">
      <c r="A898" t="s">
        <v>906</v>
      </c>
      <c r="B898" t="s">
        <v>28</v>
      </c>
      <c r="C898" t="s">
        <v>9</v>
      </c>
      <c r="D898">
        <v>9</v>
      </c>
      <c r="E898">
        <v>30000</v>
      </c>
      <c r="F898">
        <v>-15.0035059484728</v>
      </c>
      <c r="G898">
        <v>54.431285499653903</v>
      </c>
      <c r="H898">
        <v>2800</v>
      </c>
      <c r="I898">
        <v>356</v>
      </c>
      <c r="J898">
        <v>120</v>
      </c>
      <c r="K898" t="str">
        <f t="shared" si="39"/>
        <v>New York → Sydney</v>
      </c>
      <c r="L898" s="5">
        <f t="shared" si="40"/>
        <v>39.555555555555557</v>
      </c>
      <c r="M898" s="7">
        <f t="shared" si="41"/>
        <v>42720</v>
      </c>
      <c r="N898" s="7"/>
      <c r="O898" s="7"/>
    </row>
    <row r="899" spans="1:15" x14ac:dyDescent="0.25">
      <c r="A899" t="s">
        <v>907</v>
      </c>
      <c r="B899" t="s">
        <v>28</v>
      </c>
      <c r="C899" t="s">
        <v>13</v>
      </c>
      <c r="D899">
        <v>7</v>
      </c>
      <c r="E899">
        <v>32000</v>
      </c>
      <c r="F899">
        <v>-53.561020554438898</v>
      </c>
      <c r="G899">
        <v>65.055248297193103</v>
      </c>
      <c r="H899">
        <v>3500</v>
      </c>
      <c r="I899">
        <v>300</v>
      </c>
      <c r="J899">
        <v>50</v>
      </c>
      <c r="K899" t="str">
        <f t="shared" ref="K899:K962" si="42">B899 &amp; " → " &amp; C899</f>
        <v>New York → Paris</v>
      </c>
      <c r="L899" s="5">
        <f t="shared" ref="L899:L962" si="43">I899/D899</f>
        <v>42.857142857142854</v>
      </c>
      <c r="M899" s="7">
        <f t="shared" ref="M899:M962" si="44">I899*J899</f>
        <v>15000</v>
      </c>
      <c r="N899" s="7"/>
      <c r="O899" s="7"/>
    </row>
    <row r="900" spans="1:15" x14ac:dyDescent="0.25">
      <c r="A900" t="s">
        <v>908</v>
      </c>
      <c r="B900" t="s">
        <v>28</v>
      </c>
      <c r="C900" t="s">
        <v>13</v>
      </c>
      <c r="D900">
        <v>9</v>
      </c>
      <c r="E900">
        <v>32000</v>
      </c>
      <c r="F900">
        <v>-146.24045054747401</v>
      </c>
      <c r="G900">
        <v>-65.285994111197397</v>
      </c>
      <c r="H900">
        <v>2847</v>
      </c>
      <c r="I900">
        <v>300</v>
      </c>
      <c r="J900">
        <v>200</v>
      </c>
      <c r="K900" t="str">
        <f t="shared" si="42"/>
        <v>New York → Paris</v>
      </c>
      <c r="L900" s="5">
        <f t="shared" si="43"/>
        <v>33.333333333333336</v>
      </c>
      <c r="M900" s="7">
        <f t="shared" si="44"/>
        <v>60000</v>
      </c>
      <c r="N900" s="7"/>
      <c r="O900" s="7"/>
    </row>
    <row r="901" spans="1:15" x14ac:dyDescent="0.25">
      <c r="A901" t="s">
        <v>909</v>
      </c>
      <c r="B901" t="s">
        <v>6</v>
      </c>
      <c r="C901" t="s">
        <v>2</v>
      </c>
      <c r="D901">
        <v>8</v>
      </c>
      <c r="E901">
        <v>30000</v>
      </c>
      <c r="F901">
        <v>-4.9930253226273198</v>
      </c>
      <c r="G901">
        <v>81.429615431770401</v>
      </c>
      <c r="H901">
        <v>2583</v>
      </c>
      <c r="I901">
        <v>397</v>
      </c>
      <c r="J901">
        <v>133</v>
      </c>
      <c r="K901" t="str">
        <f t="shared" si="42"/>
        <v>Chicago → Tokyo</v>
      </c>
      <c r="L901" s="5">
        <f t="shared" si="43"/>
        <v>49.625</v>
      </c>
      <c r="M901" s="7">
        <f t="shared" si="44"/>
        <v>52801</v>
      </c>
      <c r="N901" s="7"/>
      <c r="O901" s="7"/>
    </row>
    <row r="902" spans="1:15" x14ac:dyDescent="0.25">
      <c r="A902" t="s">
        <v>910</v>
      </c>
      <c r="B902" t="s">
        <v>6</v>
      </c>
      <c r="C902" t="s">
        <v>9</v>
      </c>
      <c r="D902">
        <v>9</v>
      </c>
      <c r="E902">
        <v>30000</v>
      </c>
      <c r="F902">
        <v>151.466274123349</v>
      </c>
      <c r="G902">
        <v>-30.811928787250299</v>
      </c>
      <c r="H902">
        <v>2678</v>
      </c>
      <c r="I902">
        <v>356</v>
      </c>
      <c r="J902">
        <v>137</v>
      </c>
      <c r="K902" t="str">
        <f t="shared" si="42"/>
        <v>Chicago → Sydney</v>
      </c>
      <c r="L902" s="5">
        <f t="shared" si="43"/>
        <v>39.555555555555557</v>
      </c>
      <c r="M902" s="7">
        <f t="shared" si="44"/>
        <v>48772</v>
      </c>
      <c r="N902" s="7"/>
      <c r="O902" s="7"/>
    </row>
    <row r="903" spans="1:15" x14ac:dyDescent="0.25">
      <c r="A903" t="s">
        <v>911</v>
      </c>
      <c r="B903" t="s">
        <v>28</v>
      </c>
      <c r="C903" t="s">
        <v>9</v>
      </c>
      <c r="D903">
        <v>9</v>
      </c>
      <c r="E903">
        <v>30000</v>
      </c>
      <c r="F903">
        <v>-165.57871714174999</v>
      </c>
      <c r="G903">
        <v>29.216472971529601</v>
      </c>
      <c r="H903">
        <v>2800</v>
      </c>
      <c r="I903">
        <v>356</v>
      </c>
      <c r="J903">
        <v>120</v>
      </c>
      <c r="K903" t="str">
        <f t="shared" si="42"/>
        <v>New York → Sydney</v>
      </c>
      <c r="L903" s="5">
        <f t="shared" si="43"/>
        <v>39.555555555555557</v>
      </c>
      <c r="M903" s="7">
        <f t="shared" si="44"/>
        <v>42720</v>
      </c>
      <c r="N903" s="7"/>
      <c r="O903" s="7"/>
    </row>
    <row r="904" spans="1:15" x14ac:dyDescent="0.25">
      <c r="A904" t="s">
        <v>912</v>
      </c>
      <c r="B904" t="s">
        <v>4</v>
      </c>
      <c r="C904" t="s">
        <v>13</v>
      </c>
      <c r="D904">
        <v>8</v>
      </c>
      <c r="E904">
        <v>30000</v>
      </c>
      <c r="F904">
        <v>-75.074071142234203</v>
      </c>
      <c r="G904">
        <v>45.328526272202602</v>
      </c>
      <c r="H904">
        <v>2718</v>
      </c>
      <c r="I904">
        <v>354</v>
      </c>
      <c r="J904">
        <v>115</v>
      </c>
      <c r="K904" t="str">
        <f t="shared" si="42"/>
        <v>Miami → Paris</v>
      </c>
      <c r="L904" s="5">
        <f t="shared" si="43"/>
        <v>44.25</v>
      </c>
      <c r="M904" s="7">
        <f t="shared" si="44"/>
        <v>40710</v>
      </c>
      <c r="N904" s="7"/>
      <c r="O904" s="7"/>
    </row>
    <row r="905" spans="1:15" x14ac:dyDescent="0.25">
      <c r="A905" t="s">
        <v>913</v>
      </c>
      <c r="B905" t="s">
        <v>1</v>
      </c>
      <c r="C905" t="s">
        <v>15</v>
      </c>
      <c r="D905">
        <v>8</v>
      </c>
      <c r="E905">
        <v>30000</v>
      </c>
      <c r="F905">
        <v>-105.285262965947</v>
      </c>
      <c r="G905">
        <v>56.150322234819001</v>
      </c>
      <c r="H905">
        <v>2846</v>
      </c>
      <c r="I905">
        <v>374</v>
      </c>
      <c r="J905">
        <v>138</v>
      </c>
      <c r="K905" t="str">
        <f t="shared" si="42"/>
        <v>Houston → London</v>
      </c>
      <c r="L905" s="5">
        <f t="shared" si="43"/>
        <v>46.75</v>
      </c>
      <c r="M905" s="7">
        <f t="shared" si="44"/>
        <v>51612</v>
      </c>
      <c r="N905" s="7"/>
      <c r="O905" s="7"/>
    </row>
    <row r="906" spans="1:15" x14ac:dyDescent="0.25">
      <c r="A906" t="s">
        <v>914</v>
      </c>
      <c r="B906" t="s">
        <v>1</v>
      </c>
      <c r="C906" t="s">
        <v>2</v>
      </c>
      <c r="D906">
        <v>10</v>
      </c>
      <c r="E906">
        <v>30000</v>
      </c>
      <c r="F906">
        <v>-94.267204680349295</v>
      </c>
      <c r="G906">
        <v>80.234946400667397</v>
      </c>
      <c r="H906">
        <v>2550</v>
      </c>
      <c r="I906">
        <v>397</v>
      </c>
      <c r="J906">
        <v>120</v>
      </c>
      <c r="K906" t="str">
        <f t="shared" si="42"/>
        <v>Houston → Tokyo</v>
      </c>
      <c r="L906" s="5">
        <f t="shared" si="43"/>
        <v>39.700000000000003</v>
      </c>
      <c r="M906" s="7">
        <f t="shared" si="44"/>
        <v>47640</v>
      </c>
      <c r="N906" s="7"/>
      <c r="O906" s="7"/>
    </row>
    <row r="907" spans="1:15" x14ac:dyDescent="0.25">
      <c r="A907" t="s">
        <v>915</v>
      </c>
      <c r="B907" t="s">
        <v>11</v>
      </c>
      <c r="C907" t="s">
        <v>9</v>
      </c>
      <c r="D907">
        <v>9</v>
      </c>
      <c r="E907">
        <v>35000</v>
      </c>
      <c r="F907">
        <v>147.03643867657499</v>
      </c>
      <c r="G907">
        <v>-33.674481354811903</v>
      </c>
      <c r="H907">
        <v>3500</v>
      </c>
      <c r="I907">
        <v>300</v>
      </c>
      <c r="J907">
        <v>145</v>
      </c>
      <c r="K907" t="str">
        <f t="shared" si="42"/>
        <v>Los Angeles → Sydney</v>
      </c>
      <c r="L907" s="5">
        <f t="shared" si="43"/>
        <v>33.333333333333336</v>
      </c>
      <c r="M907" s="7">
        <f t="shared" si="44"/>
        <v>43500</v>
      </c>
      <c r="N907" s="7"/>
      <c r="O907" s="7"/>
    </row>
    <row r="908" spans="1:15" x14ac:dyDescent="0.25">
      <c r="A908" t="s">
        <v>916</v>
      </c>
      <c r="B908" t="s">
        <v>4</v>
      </c>
      <c r="C908" t="s">
        <v>13</v>
      </c>
      <c r="D908">
        <v>12</v>
      </c>
      <c r="E908">
        <v>35000</v>
      </c>
      <c r="F908">
        <v>-11.4951404756555</v>
      </c>
      <c r="G908">
        <v>64.531161819279802</v>
      </c>
      <c r="H908">
        <v>3000</v>
      </c>
      <c r="I908">
        <v>300</v>
      </c>
      <c r="J908">
        <v>200</v>
      </c>
      <c r="K908" t="str">
        <f t="shared" si="42"/>
        <v>Miami → Paris</v>
      </c>
      <c r="L908" s="5">
        <f t="shared" si="43"/>
        <v>25</v>
      </c>
      <c r="M908" s="7">
        <f t="shared" si="44"/>
        <v>60000</v>
      </c>
      <c r="N908" s="7"/>
      <c r="O908" s="7"/>
    </row>
    <row r="909" spans="1:15" x14ac:dyDescent="0.25">
      <c r="A909" t="s">
        <v>917</v>
      </c>
      <c r="B909" t="s">
        <v>6</v>
      </c>
      <c r="C909" t="s">
        <v>9</v>
      </c>
      <c r="D909">
        <v>9</v>
      </c>
      <c r="E909">
        <v>30000</v>
      </c>
      <c r="F909">
        <v>-12.132211341665201</v>
      </c>
      <c r="G909">
        <v>-66.296357381482693</v>
      </c>
      <c r="H909">
        <v>2678</v>
      </c>
      <c r="I909">
        <v>356</v>
      </c>
      <c r="J909">
        <v>137</v>
      </c>
      <c r="K909" t="str">
        <f t="shared" si="42"/>
        <v>Chicago → Sydney</v>
      </c>
      <c r="L909" s="5">
        <f t="shared" si="43"/>
        <v>39.555555555555557</v>
      </c>
      <c r="M909" s="7">
        <f t="shared" si="44"/>
        <v>48772</v>
      </c>
      <c r="N909" s="7"/>
      <c r="O909" s="7"/>
    </row>
    <row r="910" spans="1:15" x14ac:dyDescent="0.25">
      <c r="A910" t="s">
        <v>918</v>
      </c>
      <c r="B910" t="s">
        <v>28</v>
      </c>
      <c r="C910" t="s">
        <v>2</v>
      </c>
      <c r="D910">
        <v>5</v>
      </c>
      <c r="E910">
        <v>30000</v>
      </c>
      <c r="F910">
        <v>93.807231283901601</v>
      </c>
      <c r="G910">
        <v>36.907363143646698</v>
      </c>
      <c r="H910">
        <v>2500</v>
      </c>
      <c r="I910">
        <v>450</v>
      </c>
      <c r="J910">
        <v>200</v>
      </c>
      <c r="K910" t="str">
        <f t="shared" si="42"/>
        <v>New York → Tokyo</v>
      </c>
      <c r="L910" s="5">
        <f t="shared" si="43"/>
        <v>90</v>
      </c>
      <c r="M910" s="7">
        <f t="shared" si="44"/>
        <v>90000</v>
      </c>
      <c r="N910" s="7"/>
      <c r="O910" s="7"/>
    </row>
    <row r="911" spans="1:15" x14ac:dyDescent="0.25">
      <c r="A911" t="s">
        <v>919</v>
      </c>
      <c r="B911" t="s">
        <v>11</v>
      </c>
      <c r="C911" t="s">
        <v>2</v>
      </c>
      <c r="D911">
        <v>10</v>
      </c>
      <c r="E911">
        <v>30000</v>
      </c>
      <c r="F911">
        <v>-124.382806558227</v>
      </c>
      <c r="G911">
        <v>43.555991312517399</v>
      </c>
      <c r="H911">
        <v>2000</v>
      </c>
      <c r="I911">
        <v>600</v>
      </c>
      <c r="J911">
        <v>100</v>
      </c>
      <c r="K911" t="str">
        <f t="shared" si="42"/>
        <v>Los Angeles → Tokyo</v>
      </c>
      <c r="L911" s="5">
        <f t="shared" si="43"/>
        <v>60</v>
      </c>
      <c r="M911" s="7">
        <f t="shared" si="44"/>
        <v>60000</v>
      </c>
      <c r="N911" s="7"/>
      <c r="O911" s="7"/>
    </row>
    <row r="912" spans="1:15" x14ac:dyDescent="0.25">
      <c r="A912" t="s">
        <v>920</v>
      </c>
      <c r="B912" t="s">
        <v>1</v>
      </c>
      <c r="C912" t="s">
        <v>20</v>
      </c>
      <c r="D912">
        <v>8</v>
      </c>
      <c r="E912">
        <v>30000</v>
      </c>
      <c r="F912">
        <v>-4.5844725239817299</v>
      </c>
      <c r="G912">
        <v>31.990183416237699</v>
      </c>
      <c r="H912">
        <v>2500</v>
      </c>
      <c r="I912">
        <v>402</v>
      </c>
      <c r="J912">
        <v>111</v>
      </c>
      <c r="K912" t="str">
        <f t="shared" si="42"/>
        <v>Houston → Dubai</v>
      </c>
      <c r="L912" s="5">
        <f t="shared" si="43"/>
        <v>50.25</v>
      </c>
      <c r="M912" s="7">
        <f t="shared" si="44"/>
        <v>44622</v>
      </c>
      <c r="N912" s="7"/>
      <c r="O912" s="7"/>
    </row>
    <row r="913" spans="1:15" x14ac:dyDescent="0.25">
      <c r="A913" t="s">
        <v>921</v>
      </c>
      <c r="B913" t="s">
        <v>6</v>
      </c>
      <c r="C913" t="s">
        <v>13</v>
      </c>
      <c r="D913">
        <v>9</v>
      </c>
      <c r="E913">
        <v>30000</v>
      </c>
      <c r="F913">
        <v>-25.205322916418499</v>
      </c>
      <c r="G913">
        <v>-44.583347495672498</v>
      </c>
      <c r="H913">
        <v>2928</v>
      </c>
      <c r="I913">
        <v>450</v>
      </c>
      <c r="J913">
        <v>121</v>
      </c>
      <c r="K913" t="str">
        <f t="shared" si="42"/>
        <v>Chicago → Paris</v>
      </c>
      <c r="L913" s="5">
        <f t="shared" si="43"/>
        <v>50</v>
      </c>
      <c r="M913" s="7">
        <f t="shared" si="44"/>
        <v>54450</v>
      </c>
      <c r="N913" s="7"/>
      <c r="O913" s="7"/>
    </row>
    <row r="914" spans="1:15" x14ac:dyDescent="0.25">
      <c r="A914" t="s">
        <v>922</v>
      </c>
      <c r="B914" t="s">
        <v>6</v>
      </c>
      <c r="C914" t="s">
        <v>2</v>
      </c>
      <c r="D914">
        <v>5</v>
      </c>
      <c r="E914">
        <v>30000</v>
      </c>
      <c r="F914">
        <v>34.887848596796204</v>
      </c>
      <c r="G914">
        <v>67.147766462736598</v>
      </c>
      <c r="H914">
        <v>3000</v>
      </c>
      <c r="I914">
        <v>397</v>
      </c>
      <c r="J914">
        <v>200</v>
      </c>
      <c r="K914" t="str">
        <f t="shared" si="42"/>
        <v>Chicago → Tokyo</v>
      </c>
      <c r="L914" s="5">
        <f t="shared" si="43"/>
        <v>79.400000000000006</v>
      </c>
      <c r="M914" s="7">
        <f t="shared" si="44"/>
        <v>79400</v>
      </c>
      <c r="N914" s="7"/>
      <c r="O914" s="7"/>
    </row>
    <row r="915" spans="1:15" x14ac:dyDescent="0.25">
      <c r="A915" t="s">
        <v>923</v>
      </c>
      <c r="B915" t="s">
        <v>28</v>
      </c>
      <c r="C915" t="s">
        <v>20</v>
      </c>
      <c r="D915">
        <v>15</v>
      </c>
      <c r="E915">
        <v>30000</v>
      </c>
      <c r="F915">
        <v>179.840773170158</v>
      </c>
      <c r="G915">
        <v>-59.605476593328902</v>
      </c>
      <c r="H915">
        <v>2588</v>
      </c>
      <c r="I915">
        <v>300</v>
      </c>
      <c r="J915">
        <v>50</v>
      </c>
      <c r="K915" t="str">
        <f t="shared" si="42"/>
        <v>New York → Dubai</v>
      </c>
      <c r="L915" s="5">
        <f t="shared" si="43"/>
        <v>20</v>
      </c>
      <c r="M915" s="7">
        <f t="shared" si="44"/>
        <v>15000</v>
      </c>
      <c r="N915" s="7"/>
      <c r="O915" s="7"/>
    </row>
    <row r="916" spans="1:15" x14ac:dyDescent="0.25">
      <c r="A916" t="s">
        <v>924</v>
      </c>
      <c r="B916" t="s">
        <v>1</v>
      </c>
      <c r="C916" t="s">
        <v>20</v>
      </c>
      <c r="D916">
        <v>8</v>
      </c>
      <c r="E916">
        <v>30000</v>
      </c>
      <c r="F916">
        <v>97.001601869536998</v>
      </c>
      <c r="G916">
        <v>-80.345737526250403</v>
      </c>
      <c r="H916">
        <v>2500</v>
      </c>
      <c r="I916">
        <v>402</v>
      </c>
      <c r="J916">
        <v>111</v>
      </c>
      <c r="K916" t="str">
        <f t="shared" si="42"/>
        <v>Houston → Dubai</v>
      </c>
      <c r="L916" s="5">
        <f t="shared" si="43"/>
        <v>50.25</v>
      </c>
      <c r="M916" s="7">
        <f t="shared" si="44"/>
        <v>44622</v>
      </c>
      <c r="N916" s="7"/>
      <c r="O916" s="7"/>
    </row>
    <row r="917" spans="1:15" x14ac:dyDescent="0.25">
      <c r="A917" t="s">
        <v>925</v>
      </c>
      <c r="B917" t="s">
        <v>4</v>
      </c>
      <c r="C917" t="s">
        <v>9</v>
      </c>
      <c r="D917">
        <v>10</v>
      </c>
      <c r="E917">
        <v>30000</v>
      </c>
      <c r="F917">
        <v>-36.768346913726198</v>
      </c>
      <c r="G917">
        <v>39.143698310144202</v>
      </c>
      <c r="H917">
        <v>3000</v>
      </c>
      <c r="I917">
        <v>450</v>
      </c>
      <c r="J917">
        <v>105</v>
      </c>
      <c r="K917" t="str">
        <f t="shared" si="42"/>
        <v>Miami → Sydney</v>
      </c>
      <c r="L917" s="5">
        <f t="shared" si="43"/>
        <v>45</v>
      </c>
      <c r="M917" s="7">
        <f t="shared" si="44"/>
        <v>47250</v>
      </c>
      <c r="N917" s="7"/>
      <c r="O917" s="7"/>
    </row>
    <row r="918" spans="1:15" x14ac:dyDescent="0.25">
      <c r="A918" t="s">
        <v>926</v>
      </c>
      <c r="B918" t="s">
        <v>6</v>
      </c>
      <c r="C918" t="s">
        <v>9</v>
      </c>
      <c r="D918">
        <v>9</v>
      </c>
      <c r="E918">
        <v>30000</v>
      </c>
      <c r="F918">
        <v>117.91909881865701</v>
      </c>
      <c r="G918">
        <v>-4.4143712581079297</v>
      </c>
      <c r="H918">
        <v>2678</v>
      </c>
      <c r="I918">
        <v>356</v>
      </c>
      <c r="J918">
        <v>137</v>
      </c>
      <c r="K918" t="str">
        <f t="shared" si="42"/>
        <v>Chicago → Sydney</v>
      </c>
      <c r="L918" s="5">
        <f t="shared" si="43"/>
        <v>39.555555555555557</v>
      </c>
      <c r="M918" s="7">
        <f t="shared" si="44"/>
        <v>48772</v>
      </c>
      <c r="N918" s="7"/>
      <c r="O918" s="7"/>
    </row>
    <row r="919" spans="1:15" x14ac:dyDescent="0.25">
      <c r="A919" t="s">
        <v>927</v>
      </c>
      <c r="B919" t="s">
        <v>28</v>
      </c>
      <c r="C919" t="s">
        <v>20</v>
      </c>
      <c r="D919">
        <v>11</v>
      </c>
      <c r="E919">
        <v>30000</v>
      </c>
      <c r="F919">
        <v>-118.544989207507</v>
      </c>
      <c r="G919">
        <v>62.837643592561697</v>
      </c>
      <c r="H919">
        <v>2588</v>
      </c>
      <c r="I919">
        <v>402</v>
      </c>
      <c r="J919">
        <v>134</v>
      </c>
      <c r="K919" t="str">
        <f t="shared" si="42"/>
        <v>New York → Dubai</v>
      </c>
      <c r="L919" s="5">
        <f t="shared" si="43"/>
        <v>36.545454545454547</v>
      </c>
      <c r="M919" s="7">
        <f t="shared" si="44"/>
        <v>53868</v>
      </c>
      <c r="N919" s="7"/>
      <c r="O919" s="7"/>
    </row>
    <row r="920" spans="1:15" x14ac:dyDescent="0.25">
      <c r="A920" t="s">
        <v>928</v>
      </c>
      <c r="B920" t="s">
        <v>4</v>
      </c>
      <c r="C920" t="s">
        <v>9</v>
      </c>
      <c r="D920">
        <v>10</v>
      </c>
      <c r="E920">
        <v>30000</v>
      </c>
      <c r="F920">
        <v>-169.033072928774</v>
      </c>
      <c r="G920">
        <v>-20.988514609513398</v>
      </c>
      <c r="H920">
        <v>2931</v>
      </c>
      <c r="I920">
        <v>356</v>
      </c>
      <c r="J920">
        <v>105</v>
      </c>
      <c r="K920" t="str">
        <f t="shared" si="42"/>
        <v>Miami → Sydney</v>
      </c>
      <c r="L920" s="5">
        <f t="shared" si="43"/>
        <v>35.6</v>
      </c>
      <c r="M920" s="7">
        <f t="shared" si="44"/>
        <v>37380</v>
      </c>
      <c r="N920" s="7"/>
      <c r="O920" s="7"/>
    </row>
    <row r="921" spans="1:15" x14ac:dyDescent="0.25">
      <c r="A921" t="s">
        <v>929</v>
      </c>
      <c r="B921" t="s">
        <v>1</v>
      </c>
      <c r="C921" t="s">
        <v>2</v>
      </c>
      <c r="D921">
        <v>12</v>
      </c>
      <c r="E921">
        <v>32000</v>
      </c>
      <c r="F921">
        <v>-106.398585912862</v>
      </c>
      <c r="G921">
        <v>-59.709854068611698</v>
      </c>
      <c r="H921">
        <v>2000</v>
      </c>
      <c r="I921">
        <v>300</v>
      </c>
      <c r="J921">
        <v>100</v>
      </c>
      <c r="K921" t="str">
        <f t="shared" si="42"/>
        <v>Houston → Tokyo</v>
      </c>
      <c r="L921" s="5">
        <f t="shared" si="43"/>
        <v>25</v>
      </c>
      <c r="M921" s="7">
        <f t="shared" si="44"/>
        <v>30000</v>
      </c>
      <c r="N921" s="7"/>
      <c r="O921" s="7"/>
    </row>
    <row r="922" spans="1:15" x14ac:dyDescent="0.25">
      <c r="A922" t="s">
        <v>930</v>
      </c>
      <c r="B922" t="s">
        <v>6</v>
      </c>
      <c r="C922" t="s">
        <v>15</v>
      </c>
      <c r="D922">
        <v>5</v>
      </c>
      <c r="E922">
        <v>32000</v>
      </c>
      <c r="F922">
        <v>-57.451839798866501</v>
      </c>
      <c r="G922">
        <v>60.559594644576499</v>
      </c>
      <c r="H922">
        <v>2678</v>
      </c>
      <c r="I922">
        <v>150</v>
      </c>
      <c r="J922">
        <v>50</v>
      </c>
      <c r="K922" t="str">
        <f t="shared" si="42"/>
        <v>Chicago → London</v>
      </c>
      <c r="L922" s="5">
        <f t="shared" si="43"/>
        <v>30</v>
      </c>
      <c r="M922" s="7">
        <f t="shared" si="44"/>
        <v>7500</v>
      </c>
      <c r="N922" s="7"/>
      <c r="O922" s="7"/>
    </row>
    <row r="923" spans="1:15" x14ac:dyDescent="0.25">
      <c r="A923" t="s">
        <v>931</v>
      </c>
      <c r="B923" t="s">
        <v>4</v>
      </c>
      <c r="C923" t="s">
        <v>2</v>
      </c>
      <c r="D923">
        <v>5</v>
      </c>
      <c r="E923">
        <v>30000</v>
      </c>
      <c r="F923">
        <v>3.8090726854415502</v>
      </c>
      <c r="G923">
        <v>8.8037336952128999</v>
      </c>
      <c r="H923">
        <v>3000</v>
      </c>
      <c r="I923">
        <v>397</v>
      </c>
      <c r="J923">
        <v>150</v>
      </c>
      <c r="K923" t="str">
        <f t="shared" si="42"/>
        <v>Miami → Tokyo</v>
      </c>
      <c r="L923" s="5">
        <f t="shared" si="43"/>
        <v>79.400000000000006</v>
      </c>
      <c r="M923" s="7">
        <f t="shared" si="44"/>
        <v>59550</v>
      </c>
      <c r="N923" s="7"/>
      <c r="O923" s="7"/>
    </row>
    <row r="924" spans="1:15" x14ac:dyDescent="0.25">
      <c r="A924" t="s">
        <v>932</v>
      </c>
      <c r="B924" t="s">
        <v>4</v>
      </c>
      <c r="C924" t="s">
        <v>20</v>
      </c>
      <c r="D924">
        <v>9</v>
      </c>
      <c r="E924">
        <v>30000</v>
      </c>
      <c r="F924">
        <v>41.4464905948319</v>
      </c>
      <c r="G924">
        <v>-55.944757369736102</v>
      </c>
      <c r="H924">
        <v>2700</v>
      </c>
      <c r="I924">
        <v>402</v>
      </c>
      <c r="J924">
        <v>128</v>
      </c>
      <c r="K924" t="str">
        <f t="shared" si="42"/>
        <v>Miami → Dubai</v>
      </c>
      <c r="L924" s="5">
        <f t="shared" si="43"/>
        <v>44.666666666666664</v>
      </c>
      <c r="M924" s="7">
        <f t="shared" si="44"/>
        <v>51456</v>
      </c>
      <c r="N924" s="7"/>
      <c r="O924" s="7"/>
    </row>
    <row r="925" spans="1:15" x14ac:dyDescent="0.25">
      <c r="A925" t="s">
        <v>933</v>
      </c>
      <c r="B925" t="s">
        <v>4</v>
      </c>
      <c r="C925" t="s">
        <v>20</v>
      </c>
      <c r="D925">
        <v>9</v>
      </c>
      <c r="E925">
        <v>30000</v>
      </c>
      <c r="F925">
        <v>147.81805819719199</v>
      </c>
      <c r="G925">
        <v>39.669119745560202</v>
      </c>
      <c r="H925">
        <v>2700</v>
      </c>
      <c r="I925">
        <v>402</v>
      </c>
      <c r="J925">
        <v>128</v>
      </c>
      <c r="K925" t="str">
        <f t="shared" si="42"/>
        <v>Miami → Dubai</v>
      </c>
      <c r="L925" s="5">
        <f t="shared" si="43"/>
        <v>44.666666666666664</v>
      </c>
      <c r="M925" s="7">
        <f t="shared" si="44"/>
        <v>51456</v>
      </c>
      <c r="N925" s="7"/>
      <c r="O925" s="7"/>
    </row>
    <row r="926" spans="1:15" x14ac:dyDescent="0.25">
      <c r="A926" t="s">
        <v>934</v>
      </c>
      <c r="B926" t="s">
        <v>6</v>
      </c>
      <c r="C926" t="s">
        <v>2</v>
      </c>
      <c r="D926">
        <v>8</v>
      </c>
      <c r="E926">
        <v>30000</v>
      </c>
      <c r="F926">
        <v>3.5474434381647799</v>
      </c>
      <c r="G926">
        <v>2.0004549281100998</v>
      </c>
      <c r="H926">
        <v>2583</v>
      </c>
      <c r="I926">
        <v>397</v>
      </c>
      <c r="J926">
        <v>133</v>
      </c>
      <c r="K926" t="str">
        <f t="shared" si="42"/>
        <v>Chicago → Tokyo</v>
      </c>
      <c r="L926" s="5">
        <f t="shared" si="43"/>
        <v>49.625</v>
      </c>
      <c r="M926" s="7">
        <f t="shared" si="44"/>
        <v>52801</v>
      </c>
      <c r="N926" s="7"/>
      <c r="O926" s="7"/>
    </row>
    <row r="927" spans="1:15" x14ac:dyDescent="0.25">
      <c r="A927" t="s">
        <v>935</v>
      </c>
      <c r="B927" t="s">
        <v>6</v>
      </c>
      <c r="C927" t="s">
        <v>9</v>
      </c>
      <c r="D927">
        <v>9</v>
      </c>
      <c r="E927">
        <v>30000</v>
      </c>
      <c r="F927">
        <v>0.45923206526256899</v>
      </c>
      <c r="G927">
        <v>18.7763368032576</v>
      </c>
      <c r="H927">
        <v>2678</v>
      </c>
      <c r="I927">
        <v>356</v>
      </c>
      <c r="J927">
        <v>137</v>
      </c>
      <c r="K927" t="str">
        <f t="shared" si="42"/>
        <v>Chicago → Sydney</v>
      </c>
      <c r="L927" s="5">
        <f t="shared" si="43"/>
        <v>39.555555555555557</v>
      </c>
      <c r="M927" s="7">
        <f t="shared" si="44"/>
        <v>48772</v>
      </c>
      <c r="N927" s="7"/>
      <c r="O927" s="7"/>
    </row>
    <row r="928" spans="1:15" x14ac:dyDescent="0.25">
      <c r="A928" t="s">
        <v>936</v>
      </c>
      <c r="B928" t="s">
        <v>11</v>
      </c>
      <c r="C928" t="s">
        <v>9</v>
      </c>
      <c r="D928">
        <v>9</v>
      </c>
      <c r="E928">
        <v>35000</v>
      </c>
      <c r="F928">
        <v>-161.91251646372601</v>
      </c>
      <c r="G928">
        <v>-7.0382991228152596</v>
      </c>
      <c r="H928">
        <v>3000</v>
      </c>
      <c r="I928">
        <v>150</v>
      </c>
      <c r="J928">
        <v>50</v>
      </c>
      <c r="K928" t="str">
        <f t="shared" si="42"/>
        <v>Los Angeles → Sydney</v>
      </c>
      <c r="L928" s="5">
        <f t="shared" si="43"/>
        <v>16.666666666666668</v>
      </c>
      <c r="M928" s="7">
        <f t="shared" si="44"/>
        <v>7500</v>
      </c>
      <c r="N928" s="7"/>
      <c r="O928" s="7"/>
    </row>
    <row r="929" spans="1:15" x14ac:dyDescent="0.25">
      <c r="A929" t="s">
        <v>937</v>
      </c>
      <c r="B929" t="s">
        <v>1</v>
      </c>
      <c r="C929" t="s">
        <v>20</v>
      </c>
      <c r="D929">
        <v>5</v>
      </c>
      <c r="E929">
        <v>30000</v>
      </c>
      <c r="F929">
        <v>-167.43184104375899</v>
      </c>
      <c r="G929">
        <v>59.167617087241098</v>
      </c>
      <c r="H929">
        <v>3000</v>
      </c>
      <c r="I929">
        <v>450</v>
      </c>
      <c r="J929">
        <v>150</v>
      </c>
      <c r="K929" t="str">
        <f t="shared" si="42"/>
        <v>Houston → Dubai</v>
      </c>
      <c r="L929" s="5">
        <f t="shared" si="43"/>
        <v>90</v>
      </c>
      <c r="M929" s="7">
        <f t="shared" si="44"/>
        <v>67500</v>
      </c>
      <c r="N929" s="7"/>
      <c r="O929" s="7"/>
    </row>
    <row r="930" spans="1:15" x14ac:dyDescent="0.25">
      <c r="A930" t="s">
        <v>938</v>
      </c>
      <c r="B930" t="s">
        <v>28</v>
      </c>
      <c r="C930" t="s">
        <v>13</v>
      </c>
      <c r="D930">
        <v>9</v>
      </c>
      <c r="E930">
        <v>30000</v>
      </c>
      <c r="F930">
        <v>18.417586289893901</v>
      </c>
      <c r="G930">
        <v>59.321288822949001</v>
      </c>
      <c r="H930">
        <v>2000</v>
      </c>
      <c r="I930">
        <v>450</v>
      </c>
      <c r="J930">
        <v>122</v>
      </c>
      <c r="K930" t="str">
        <f t="shared" si="42"/>
        <v>New York → Paris</v>
      </c>
      <c r="L930" s="5">
        <f t="shared" si="43"/>
        <v>50</v>
      </c>
      <c r="M930" s="7">
        <f t="shared" si="44"/>
        <v>54900</v>
      </c>
      <c r="N930" s="7"/>
      <c r="O930" s="7"/>
    </row>
    <row r="931" spans="1:15" x14ac:dyDescent="0.25">
      <c r="A931" t="s">
        <v>939</v>
      </c>
      <c r="B931" t="s">
        <v>4</v>
      </c>
      <c r="C931" t="s">
        <v>9</v>
      </c>
      <c r="D931">
        <v>9</v>
      </c>
      <c r="E931">
        <v>30000</v>
      </c>
      <c r="F931">
        <v>-22.255699230596001</v>
      </c>
      <c r="G931">
        <v>37.689987928389499</v>
      </c>
      <c r="H931">
        <v>3500</v>
      </c>
      <c r="I931">
        <v>300</v>
      </c>
      <c r="J931">
        <v>105</v>
      </c>
      <c r="K931" t="str">
        <f t="shared" si="42"/>
        <v>Miami → Sydney</v>
      </c>
      <c r="L931" s="5">
        <f t="shared" si="43"/>
        <v>33.333333333333336</v>
      </c>
      <c r="M931" s="7">
        <f t="shared" si="44"/>
        <v>31500</v>
      </c>
      <c r="N931" s="7"/>
      <c r="O931" s="7"/>
    </row>
    <row r="932" spans="1:15" x14ac:dyDescent="0.25">
      <c r="A932" t="s">
        <v>940</v>
      </c>
      <c r="B932" t="s">
        <v>11</v>
      </c>
      <c r="C932" t="s">
        <v>2</v>
      </c>
      <c r="D932">
        <v>9</v>
      </c>
      <c r="E932">
        <v>32000</v>
      </c>
      <c r="F932">
        <v>122.104942192908</v>
      </c>
      <c r="G932">
        <v>-71.027752068636801</v>
      </c>
      <c r="H932">
        <v>2000</v>
      </c>
      <c r="I932">
        <v>600</v>
      </c>
      <c r="J932">
        <v>50</v>
      </c>
      <c r="K932" t="str">
        <f t="shared" si="42"/>
        <v>Los Angeles → Tokyo</v>
      </c>
      <c r="L932" s="5">
        <f t="shared" si="43"/>
        <v>66.666666666666671</v>
      </c>
      <c r="M932" s="7">
        <f t="shared" si="44"/>
        <v>30000</v>
      </c>
      <c r="N932" s="7"/>
      <c r="O932" s="7"/>
    </row>
    <row r="933" spans="1:15" x14ac:dyDescent="0.25">
      <c r="A933" t="s">
        <v>941</v>
      </c>
      <c r="B933" t="s">
        <v>28</v>
      </c>
      <c r="C933" t="s">
        <v>9</v>
      </c>
      <c r="D933">
        <v>9</v>
      </c>
      <c r="E933">
        <v>30000</v>
      </c>
      <c r="F933">
        <v>-122.15534950373601</v>
      </c>
      <c r="G933">
        <v>60.993695142732399</v>
      </c>
      <c r="H933">
        <v>3000</v>
      </c>
      <c r="I933">
        <v>450</v>
      </c>
      <c r="J933">
        <v>150</v>
      </c>
      <c r="K933" t="str">
        <f t="shared" si="42"/>
        <v>New York → Sydney</v>
      </c>
      <c r="L933" s="5">
        <f t="shared" si="43"/>
        <v>50</v>
      </c>
      <c r="M933" s="7">
        <f t="shared" si="44"/>
        <v>67500</v>
      </c>
      <c r="N933" s="7"/>
      <c r="O933" s="7"/>
    </row>
    <row r="934" spans="1:15" x14ac:dyDescent="0.25">
      <c r="A934" t="s">
        <v>942</v>
      </c>
      <c r="B934" t="s">
        <v>11</v>
      </c>
      <c r="C934" t="s">
        <v>2</v>
      </c>
      <c r="D934">
        <v>9</v>
      </c>
      <c r="E934">
        <v>35000</v>
      </c>
      <c r="F934">
        <v>-171.010201637862</v>
      </c>
      <c r="G934">
        <v>30.782336495923801</v>
      </c>
      <c r="H934">
        <v>2000</v>
      </c>
      <c r="I934">
        <v>450</v>
      </c>
      <c r="J934">
        <v>150</v>
      </c>
      <c r="K934" t="str">
        <f t="shared" si="42"/>
        <v>Los Angeles → Tokyo</v>
      </c>
      <c r="L934" s="5">
        <f t="shared" si="43"/>
        <v>50</v>
      </c>
      <c r="M934" s="7">
        <f t="shared" si="44"/>
        <v>67500</v>
      </c>
      <c r="N934" s="7"/>
      <c r="O934" s="7"/>
    </row>
    <row r="935" spans="1:15" x14ac:dyDescent="0.25">
      <c r="A935" t="s">
        <v>943</v>
      </c>
      <c r="B935" t="s">
        <v>6</v>
      </c>
      <c r="C935" t="s">
        <v>20</v>
      </c>
      <c r="D935">
        <v>7</v>
      </c>
      <c r="E935">
        <v>32000</v>
      </c>
      <c r="F935">
        <v>-18.3460435451547</v>
      </c>
      <c r="G935">
        <v>35.464349880773902</v>
      </c>
      <c r="H935">
        <v>2000</v>
      </c>
      <c r="I935">
        <v>600</v>
      </c>
      <c r="J935">
        <v>50</v>
      </c>
      <c r="K935" t="str">
        <f t="shared" si="42"/>
        <v>Chicago → Dubai</v>
      </c>
      <c r="L935" s="5">
        <f t="shared" si="43"/>
        <v>85.714285714285708</v>
      </c>
      <c r="M935" s="7">
        <f t="shared" si="44"/>
        <v>30000</v>
      </c>
      <c r="N935" s="7"/>
      <c r="O935" s="7"/>
    </row>
    <row r="936" spans="1:15" x14ac:dyDescent="0.25">
      <c r="A936" t="s">
        <v>944</v>
      </c>
      <c r="B936" t="s">
        <v>4</v>
      </c>
      <c r="C936" t="s">
        <v>9</v>
      </c>
      <c r="D936">
        <v>10</v>
      </c>
      <c r="E936">
        <v>30000</v>
      </c>
      <c r="F936">
        <v>-94.507719569187302</v>
      </c>
      <c r="G936">
        <v>-24.663088727303101</v>
      </c>
      <c r="H936">
        <v>2931</v>
      </c>
      <c r="I936">
        <v>356</v>
      </c>
      <c r="J936">
        <v>105</v>
      </c>
      <c r="K936" t="str">
        <f t="shared" si="42"/>
        <v>Miami → Sydney</v>
      </c>
      <c r="L936" s="5">
        <f t="shared" si="43"/>
        <v>35.6</v>
      </c>
      <c r="M936" s="7">
        <f t="shared" si="44"/>
        <v>37380</v>
      </c>
      <c r="N936" s="7"/>
      <c r="O936" s="7"/>
    </row>
    <row r="937" spans="1:15" x14ac:dyDescent="0.25">
      <c r="A937" t="s">
        <v>945</v>
      </c>
      <c r="B937" t="s">
        <v>28</v>
      </c>
      <c r="C937" t="s">
        <v>2</v>
      </c>
      <c r="D937">
        <v>9</v>
      </c>
      <c r="E937">
        <v>30000</v>
      </c>
      <c r="F937">
        <v>-162.138825598019</v>
      </c>
      <c r="G937">
        <v>68.270320108261203</v>
      </c>
      <c r="H937">
        <v>2954</v>
      </c>
      <c r="I937">
        <v>397</v>
      </c>
      <c r="J937">
        <v>128</v>
      </c>
      <c r="K937" t="str">
        <f t="shared" si="42"/>
        <v>New York → Tokyo</v>
      </c>
      <c r="L937" s="5">
        <f t="shared" si="43"/>
        <v>44.111111111111114</v>
      </c>
      <c r="M937" s="7">
        <f t="shared" si="44"/>
        <v>50816</v>
      </c>
      <c r="N937" s="7"/>
      <c r="O937" s="7"/>
    </row>
    <row r="938" spans="1:15" x14ac:dyDescent="0.25">
      <c r="A938" t="s">
        <v>946</v>
      </c>
      <c r="B938" t="s">
        <v>28</v>
      </c>
      <c r="C938" t="s">
        <v>20</v>
      </c>
      <c r="D938">
        <v>11</v>
      </c>
      <c r="E938">
        <v>30000</v>
      </c>
      <c r="F938">
        <v>80.855383265146401</v>
      </c>
      <c r="G938">
        <v>40.5668880422743</v>
      </c>
      <c r="H938">
        <v>2588</v>
      </c>
      <c r="I938">
        <v>402</v>
      </c>
      <c r="J938">
        <v>134</v>
      </c>
      <c r="K938" t="str">
        <f t="shared" si="42"/>
        <v>New York → Dubai</v>
      </c>
      <c r="L938" s="5">
        <f t="shared" si="43"/>
        <v>36.545454545454547</v>
      </c>
      <c r="M938" s="7">
        <f t="shared" si="44"/>
        <v>53868</v>
      </c>
      <c r="N938" s="7"/>
      <c r="O938" s="7"/>
    </row>
    <row r="939" spans="1:15" x14ac:dyDescent="0.25">
      <c r="A939" t="s">
        <v>947</v>
      </c>
      <c r="B939" t="s">
        <v>28</v>
      </c>
      <c r="C939" t="s">
        <v>13</v>
      </c>
      <c r="D939">
        <v>12</v>
      </c>
      <c r="E939">
        <v>35000</v>
      </c>
      <c r="F939">
        <v>-139.826520015391</v>
      </c>
      <c r="G939">
        <v>-69.733716024744993</v>
      </c>
      <c r="H939">
        <v>3500</v>
      </c>
      <c r="I939">
        <v>300</v>
      </c>
      <c r="J939">
        <v>50</v>
      </c>
      <c r="K939" t="str">
        <f t="shared" si="42"/>
        <v>New York → Paris</v>
      </c>
      <c r="L939" s="5">
        <f t="shared" si="43"/>
        <v>25</v>
      </c>
      <c r="M939" s="7">
        <f t="shared" si="44"/>
        <v>15000</v>
      </c>
      <c r="N939" s="7"/>
      <c r="O939" s="7"/>
    </row>
    <row r="940" spans="1:15" x14ac:dyDescent="0.25">
      <c r="A940" t="s">
        <v>948</v>
      </c>
      <c r="B940" t="s">
        <v>28</v>
      </c>
      <c r="C940" t="s">
        <v>2</v>
      </c>
      <c r="D940">
        <v>9</v>
      </c>
      <c r="E940">
        <v>30000</v>
      </c>
      <c r="F940">
        <v>38.995020002797801</v>
      </c>
      <c r="G940">
        <v>-16.599953806890699</v>
      </c>
      <c r="H940">
        <v>2954</v>
      </c>
      <c r="I940">
        <v>397</v>
      </c>
      <c r="J940">
        <v>128</v>
      </c>
      <c r="K940" t="str">
        <f t="shared" si="42"/>
        <v>New York → Tokyo</v>
      </c>
      <c r="L940" s="5">
        <f t="shared" si="43"/>
        <v>44.111111111111114</v>
      </c>
      <c r="M940" s="7">
        <f t="shared" si="44"/>
        <v>50816</v>
      </c>
      <c r="N940" s="7"/>
      <c r="O940" s="7"/>
    </row>
    <row r="941" spans="1:15" x14ac:dyDescent="0.25">
      <c r="A941" t="s">
        <v>949</v>
      </c>
      <c r="B941" t="s">
        <v>28</v>
      </c>
      <c r="C941" t="s">
        <v>13</v>
      </c>
      <c r="D941">
        <v>9</v>
      </c>
      <c r="E941">
        <v>30000</v>
      </c>
      <c r="F941">
        <v>-78.822089939919906</v>
      </c>
      <c r="G941">
        <v>69.5484651528255</v>
      </c>
      <c r="H941">
        <v>2847</v>
      </c>
      <c r="I941">
        <v>354</v>
      </c>
      <c r="J941">
        <v>122</v>
      </c>
      <c r="K941" t="str">
        <f t="shared" si="42"/>
        <v>New York → Paris</v>
      </c>
      <c r="L941" s="5">
        <f t="shared" si="43"/>
        <v>39.333333333333336</v>
      </c>
      <c r="M941" s="7">
        <f t="shared" si="44"/>
        <v>43188</v>
      </c>
      <c r="N941" s="7"/>
      <c r="O941" s="7"/>
    </row>
    <row r="942" spans="1:15" x14ac:dyDescent="0.25">
      <c r="A942" t="s">
        <v>950</v>
      </c>
      <c r="B942" t="s">
        <v>11</v>
      </c>
      <c r="C942" t="s">
        <v>13</v>
      </c>
      <c r="D942">
        <v>9</v>
      </c>
      <c r="E942">
        <v>32000</v>
      </c>
      <c r="F942">
        <v>-117.541421872192</v>
      </c>
      <c r="G942">
        <v>-81.504593694471794</v>
      </c>
      <c r="H942">
        <v>3500</v>
      </c>
      <c r="I942">
        <v>354</v>
      </c>
      <c r="J942">
        <v>50</v>
      </c>
      <c r="K942" t="str">
        <f t="shared" si="42"/>
        <v>Los Angeles → Paris</v>
      </c>
      <c r="L942" s="5">
        <f t="shared" si="43"/>
        <v>39.333333333333336</v>
      </c>
      <c r="M942" s="7">
        <f t="shared" si="44"/>
        <v>17700</v>
      </c>
      <c r="N942" s="7"/>
      <c r="O942" s="7"/>
    </row>
    <row r="943" spans="1:15" x14ac:dyDescent="0.25">
      <c r="A943" t="s">
        <v>951</v>
      </c>
      <c r="B943" t="s">
        <v>4</v>
      </c>
      <c r="C943" t="s">
        <v>15</v>
      </c>
      <c r="D943">
        <v>8</v>
      </c>
      <c r="E943">
        <v>30000</v>
      </c>
      <c r="F943">
        <v>-43.289451749045703</v>
      </c>
      <c r="G943">
        <v>83.054991535568902</v>
      </c>
      <c r="H943">
        <v>2615</v>
      </c>
      <c r="I943">
        <v>374</v>
      </c>
      <c r="J943">
        <v>121</v>
      </c>
      <c r="K943" t="str">
        <f t="shared" si="42"/>
        <v>Miami → London</v>
      </c>
      <c r="L943" s="5">
        <f t="shared" si="43"/>
        <v>46.75</v>
      </c>
      <c r="M943" s="7">
        <f t="shared" si="44"/>
        <v>45254</v>
      </c>
      <c r="N943" s="7"/>
      <c r="O943" s="7"/>
    </row>
    <row r="944" spans="1:15" x14ac:dyDescent="0.25">
      <c r="A944" t="s">
        <v>952</v>
      </c>
      <c r="B944" t="s">
        <v>6</v>
      </c>
      <c r="C944" t="s">
        <v>9</v>
      </c>
      <c r="D944">
        <v>9</v>
      </c>
      <c r="E944">
        <v>30000</v>
      </c>
      <c r="F944">
        <v>108.520479440263</v>
      </c>
      <c r="G944">
        <v>32.249262297521298</v>
      </c>
      <c r="H944">
        <v>2678</v>
      </c>
      <c r="I944">
        <v>356</v>
      </c>
      <c r="J944">
        <v>137</v>
      </c>
      <c r="K944" t="str">
        <f t="shared" si="42"/>
        <v>Chicago → Sydney</v>
      </c>
      <c r="L944" s="5">
        <f t="shared" si="43"/>
        <v>39.555555555555557</v>
      </c>
      <c r="M944" s="7">
        <f t="shared" si="44"/>
        <v>48772</v>
      </c>
      <c r="N944" s="7"/>
      <c r="O944" s="7"/>
    </row>
    <row r="945" spans="1:15" x14ac:dyDescent="0.25">
      <c r="A945" t="s">
        <v>953</v>
      </c>
      <c r="B945" t="s">
        <v>6</v>
      </c>
      <c r="C945" t="s">
        <v>2</v>
      </c>
      <c r="D945">
        <v>8</v>
      </c>
      <c r="E945">
        <v>35000</v>
      </c>
      <c r="F945">
        <v>-38.846312314353803</v>
      </c>
      <c r="G945">
        <v>23.6476759758078</v>
      </c>
      <c r="H945">
        <v>2500</v>
      </c>
      <c r="I945">
        <v>450</v>
      </c>
      <c r="J945">
        <v>133</v>
      </c>
      <c r="K945" t="str">
        <f t="shared" si="42"/>
        <v>Chicago → Tokyo</v>
      </c>
      <c r="L945" s="5">
        <f t="shared" si="43"/>
        <v>56.25</v>
      </c>
      <c r="M945" s="7">
        <f t="shared" si="44"/>
        <v>59850</v>
      </c>
      <c r="N945" s="7"/>
      <c r="O945" s="7"/>
    </row>
    <row r="946" spans="1:15" x14ac:dyDescent="0.25">
      <c r="A946" t="s">
        <v>954</v>
      </c>
      <c r="B946" t="s">
        <v>6</v>
      </c>
      <c r="C946" t="s">
        <v>13</v>
      </c>
      <c r="D946">
        <v>9</v>
      </c>
      <c r="E946">
        <v>30000</v>
      </c>
      <c r="F946">
        <v>90.277073715980094</v>
      </c>
      <c r="G946">
        <v>-41.299333832161601</v>
      </c>
      <c r="H946">
        <v>3000</v>
      </c>
      <c r="I946">
        <v>300</v>
      </c>
      <c r="J946">
        <v>150</v>
      </c>
      <c r="K946" t="str">
        <f t="shared" si="42"/>
        <v>Chicago → Paris</v>
      </c>
      <c r="L946" s="5">
        <f t="shared" si="43"/>
        <v>33.333333333333336</v>
      </c>
      <c r="M946" s="7">
        <f t="shared" si="44"/>
        <v>45000</v>
      </c>
      <c r="N946" s="7"/>
      <c r="O946" s="7"/>
    </row>
    <row r="947" spans="1:15" x14ac:dyDescent="0.25">
      <c r="A947" t="s">
        <v>955</v>
      </c>
      <c r="B947" t="s">
        <v>6</v>
      </c>
      <c r="C947" t="s">
        <v>15</v>
      </c>
      <c r="D947">
        <v>12</v>
      </c>
      <c r="E947">
        <v>30000</v>
      </c>
      <c r="F947">
        <v>-134.82493315230599</v>
      </c>
      <c r="G947">
        <v>-45.2174780269481</v>
      </c>
      <c r="H947">
        <v>3000</v>
      </c>
      <c r="I947">
        <v>600</v>
      </c>
      <c r="J947">
        <v>100</v>
      </c>
      <c r="K947" t="str">
        <f t="shared" si="42"/>
        <v>Chicago → London</v>
      </c>
      <c r="L947" s="5">
        <f t="shared" si="43"/>
        <v>50</v>
      </c>
      <c r="M947" s="7">
        <f t="shared" si="44"/>
        <v>60000</v>
      </c>
      <c r="N947" s="7"/>
      <c r="O947" s="7"/>
    </row>
    <row r="948" spans="1:15" x14ac:dyDescent="0.25">
      <c r="A948" t="s">
        <v>956</v>
      </c>
      <c r="B948" t="s">
        <v>11</v>
      </c>
      <c r="C948" t="s">
        <v>20</v>
      </c>
      <c r="D948">
        <v>11</v>
      </c>
      <c r="E948">
        <v>30000</v>
      </c>
      <c r="F948">
        <v>98.197711079428501</v>
      </c>
      <c r="G948">
        <v>79.570479507947198</v>
      </c>
      <c r="H948">
        <v>2794</v>
      </c>
      <c r="I948">
        <v>402</v>
      </c>
      <c r="J948">
        <v>113</v>
      </c>
      <c r="K948" t="str">
        <f t="shared" si="42"/>
        <v>Los Angeles → Dubai</v>
      </c>
      <c r="L948" s="5">
        <f t="shared" si="43"/>
        <v>36.545454545454547</v>
      </c>
      <c r="M948" s="7">
        <f t="shared" si="44"/>
        <v>45426</v>
      </c>
      <c r="N948" s="7"/>
      <c r="O948" s="7"/>
    </row>
    <row r="949" spans="1:15" x14ac:dyDescent="0.25">
      <c r="A949" t="s">
        <v>957</v>
      </c>
      <c r="B949" t="s">
        <v>1</v>
      </c>
      <c r="C949" t="s">
        <v>2</v>
      </c>
      <c r="D949">
        <v>10</v>
      </c>
      <c r="E949">
        <v>30000</v>
      </c>
      <c r="F949">
        <v>-94.704003033606497</v>
      </c>
      <c r="G949">
        <v>-36.310958237857903</v>
      </c>
      <c r="H949">
        <v>2550</v>
      </c>
      <c r="I949">
        <v>397</v>
      </c>
      <c r="J949">
        <v>120</v>
      </c>
      <c r="K949" t="str">
        <f t="shared" si="42"/>
        <v>Houston → Tokyo</v>
      </c>
      <c r="L949" s="5">
        <f t="shared" si="43"/>
        <v>39.700000000000003</v>
      </c>
      <c r="M949" s="7">
        <f t="shared" si="44"/>
        <v>47640</v>
      </c>
      <c r="N949" s="7"/>
      <c r="O949" s="7"/>
    </row>
    <row r="950" spans="1:15" x14ac:dyDescent="0.25">
      <c r="A950" t="s">
        <v>958</v>
      </c>
      <c r="B950" t="s">
        <v>4</v>
      </c>
      <c r="C950" t="s">
        <v>13</v>
      </c>
      <c r="D950">
        <v>8</v>
      </c>
      <c r="E950">
        <v>30000</v>
      </c>
      <c r="F950">
        <v>63.861526759994199</v>
      </c>
      <c r="G950">
        <v>49.590953409419903</v>
      </c>
      <c r="H950">
        <v>2718</v>
      </c>
      <c r="I950">
        <v>354</v>
      </c>
      <c r="J950">
        <v>115</v>
      </c>
      <c r="K950" t="str">
        <f t="shared" si="42"/>
        <v>Miami → Paris</v>
      </c>
      <c r="L950" s="5">
        <f t="shared" si="43"/>
        <v>44.25</v>
      </c>
      <c r="M950" s="7">
        <f t="shared" si="44"/>
        <v>40710</v>
      </c>
      <c r="N950" s="7"/>
      <c r="O950" s="7"/>
    </row>
    <row r="951" spans="1:15" x14ac:dyDescent="0.25">
      <c r="A951" t="s">
        <v>959</v>
      </c>
      <c r="B951" t="s">
        <v>28</v>
      </c>
      <c r="C951" t="s">
        <v>9</v>
      </c>
      <c r="D951">
        <v>9</v>
      </c>
      <c r="E951">
        <v>30000</v>
      </c>
      <c r="F951">
        <v>23.681359742758701</v>
      </c>
      <c r="G951">
        <v>-19.238076322725799</v>
      </c>
      <c r="H951">
        <v>2800</v>
      </c>
      <c r="I951">
        <v>356</v>
      </c>
      <c r="J951">
        <v>120</v>
      </c>
      <c r="K951" t="str">
        <f t="shared" si="42"/>
        <v>New York → Sydney</v>
      </c>
      <c r="L951" s="5">
        <f t="shared" si="43"/>
        <v>39.555555555555557</v>
      </c>
      <c r="M951" s="7">
        <f t="shared" si="44"/>
        <v>42720</v>
      </c>
      <c r="N951" s="7"/>
      <c r="O951" s="7"/>
    </row>
    <row r="952" spans="1:15" x14ac:dyDescent="0.25">
      <c r="A952" t="s">
        <v>960</v>
      </c>
      <c r="B952" t="s">
        <v>1</v>
      </c>
      <c r="C952" t="s">
        <v>15</v>
      </c>
      <c r="D952">
        <v>8</v>
      </c>
      <c r="E952">
        <v>30000</v>
      </c>
      <c r="F952">
        <v>154.49209819620799</v>
      </c>
      <c r="G952">
        <v>-64.934267258753295</v>
      </c>
      <c r="H952">
        <v>2846</v>
      </c>
      <c r="I952">
        <v>374</v>
      </c>
      <c r="J952">
        <v>138</v>
      </c>
      <c r="K952" t="str">
        <f t="shared" si="42"/>
        <v>Houston → London</v>
      </c>
      <c r="L952" s="5">
        <f t="shared" si="43"/>
        <v>46.75</v>
      </c>
      <c r="M952" s="7">
        <f t="shared" si="44"/>
        <v>51612</v>
      </c>
      <c r="N952" s="7"/>
      <c r="O952" s="7"/>
    </row>
    <row r="953" spans="1:15" x14ac:dyDescent="0.25">
      <c r="A953" t="s">
        <v>961</v>
      </c>
      <c r="B953" t="s">
        <v>6</v>
      </c>
      <c r="C953" t="s">
        <v>13</v>
      </c>
      <c r="D953">
        <v>10</v>
      </c>
      <c r="E953">
        <v>35000</v>
      </c>
      <c r="F953">
        <v>-40.563893528887</v>
      </c>
      <c r="G953">
        <v>-88.0712464148354</v>
      </c>
      <c r="H953">
        <v>3500</v>
      </c>
      <c r="I953">
        <v>300</v>
      </c>
      <c r="J953">
        <v>200</v>
      </c>
      <c r="K953" t="str">
        <f t="shared" si="42"/>
        <v>Chicago → Paris</v>
      </c>
      <c r="L953" s="5">
        <f t="shared" si="43"/>
        <v>30</v>
      </c>
      <c r="M953" s="7">
        <f t="shared" si="44"/>
        <v>60000</v>
      </c>
      <c r="N953" s="7"/>
      <c r="O953" s="7"/>
    </row>
    <row r="954" spans="1:15" x14ac:dyDescent="0.25">
      <c r="A954" t="s">
        <v>962</v>
      </c>
      <c r="B954" t="s">
        <v>1</v>
      </c>
      <c r="C954" t="s">
        <v>9</v>
      </c>
      <c r="D954">
        <v>5</v>
      </c>
      <c r="E954">
        <v>30000</v>
      </c>
      <c r="F954">
        <v>-156.180532019601</v>
      </c>
      <c r="G954">
        <v>7.9663206627451499</v>
      </c>
      <c r="H954">
        <v>2500</v>
      </c>
      <c r="I954">
        <v>150</v>
      </c>
      <c r="J954">
        <v>200</v>
      </c>
      <c r="K954" t="str">
        <f t="shared" si="42"/>
        <v>Houston → Sydney</v>
      </c>
      <c r="L954" s="5">
        <f t="shared" si="43"/>
        <v>30</v>
      </c>
      <c r="M954" s="7">
        <f t="shared" si="44"/>
        <v>30000</v>
      </c>
      <c r="N954" s="7"/>
      <c r="O954" s="7"/>
    </row>
    <row r="955" spans="1:15" x14ac:dyDescent="0.25">
      <c r="A955" t="s">
        <v>963</v>
      </c>
      <c r="B955" t="s">
        <v>4</v>
      </c>
      <c r="C955" t="s">
        <v>13</v>
      </c>
      <c r="D955">
        <v>9</v>
      </c>
      <c r="E955">
        <v>30000</v>
      </c>
      <c r="F955">
        <v>-173.10402520154901</v>
      </c>
      <c r="G955">
        <v>85.640187338807905</v>
      </c>
      <c r="H955">
        <v>2000</v>
      </c>
      <c r="I955">
        <v>300</v>
      </c>
      <c r="J955">
        <v>115</v>
      </c>
      <c r="K955" t="str">
        <f t="shared" si="42"/>
        <v>Miami → Paris</v>
      </c>
      <c r="L955" s="5">
        <f t="shared" si="43"/>
        <v>33.333333333333336</v>
      </c>
      <c r="M955" s="7">
        <f t="shared" si="44"/>
        <v>34500</v>
      </c>
      <c r="N955" s="7"/>
      <c r="O955" s="7"/>
    </row>
    <row r="956" spans="1:15" x14ac:dyDescent="0.25">
      <c r="A956" t="s">
        <v>964</v>
      </c>
      <c r="B956" t="s">
        <v>28</v>
      </c>
      <c r="C956" t="s">
        <v>2</v>
      </c>
      <c r="D956">
        <v>9</v>
      </c>
      <c r="E956">
        <v>32000</v>
      </c>
      <c r="F956">
        <v>117.669081950191</v>
      </c>
      <c r="G956">
        <v>-23.555485114343199</v>
      </c>
      <c r="H956">
        <v>2000</v>
      </c>
      <c r="I956">
        <v>397</v>
      </c>
      <c r="J956">
        <v>100</v>
      </c>
      <c r="K956" t="str">
        <f t="shared" si="42"/>
        <v>New York → Tokyo</v>
      </c>
      <c r="L956" s="5">
        <f t="shared" si="43"/>
        <v>44.111111111111114</v>
      </c>
      <c r="M956" s="7">
        <f t="shared" si="44"/>
        <v>39700</v>
      </c>
      <c r="N956" s="7"/>
      <c r="O956" s="7"/>
    </row>
    <row r="957" spans="1:15" x14ac:dyDescent="0.25">
      <c r="A957" t="s">
        <v>965</v>
      </c>
      <c r="B957" t="s">
        <v>28</v>
      </c>
      <c r="C957" t="s">
        <v>2</v>
      </c>
      <c r="D957">
        <v>9</v>
      </c>
      <c r="E957">
        <v>30000</v>
      </c>
      <c r="F957">
        <v>8.9048295581155799</v>
      </c>
      <c r="G957">
        <v>-25.705379881251901</v>
      </c>
      <c r="H957">
        <v>2954</v>
      </c>
      <c r="I957">
        <v>150</v>
      </c>
      <c r="J957">
        <v>128</v>
      </c>
      <c r="K957" t="str">
        <f t="shared" si="42"/>
        <v>New York → Tokyo</v>
      </c>
      <c r="L957" s="5">
        <f t="shared" si="43"/>
        <v>16.666666666666668</v>
      </c>
      <c r="M957" s="7">
        <f t="shared" si="44"/>
        <v>19200</v>
      </c>
      <c r="N957" s="7"/>
      <c r="O957" s="7"/>
    </row>
    <row r="958" spans="1:15" x14ac:dyDescent="0.25">
      <c r="A958" t="s">
        <v>966</v>
      </c>
      <c r="B958" t="s">
        <v>4</v>
      </c>
      <c r="C958" t="s">
        <v>2</v>
      </c>
      <c r="D958">
        <v>9</v>
      </c>
      <c r="E958">
        <v>30000</v>
      </c>
      <c r="F958">
        <v>99.087858660581702</v>
      </c>
      <c r="G958">
        <v>-28.0635087871004</v>
      </c>
      <c r="H958">
        <v>2729</v>
      </c>
      <c r="I958">
        <v>300</v>
      </c>
      <c r="J958">
        <v>50</v>
      </c>
      <c r="K958" t="str">
        <f t="shared" si="42"/>
        <v>Miami → Tokyo</v>
      </c>
      <c r="L958" s="5">
        <f t="shared" si="43"/>
        <v>33.333333333333336</v>
      </c>
      <c r="M958" s="7">
        <f t="shared" si="44"/>
        <v>15000</v>
      </c>
      <c r="N958" s="7"/>
      <c r="O958" s="7"/>
    </row>
    <row r="959" spans="1:15" x14ac:dyDescent="0.25">
      <c r="A959" t="s">
        <v>967</v>
      </c>
      <c r="B959" t="s">
        <v>4</v>
      </c>
      <c r="C959" t="s">
        <v>15</v>
      </c>
      <c r="D959">
        <v>7</v>
      </c>
      <c r="E959">
        <v>30000</v>
      </c>
      <c r="F959">
        <v>-95.606783995854698</v>
      </c>
      <c r="G959">
        <v>3.6978907148745201</v>
      </c>
      <c r="H959">
        <v>3500</v>
      </c>
      <c r="I959">
        <v>300</v>
      </c>
      <c r="J959">
        <v>200</v>
      </c>
      <c r="K959" t="str">
        <f t="shared" si="42"/>
        <v>Miami → London</v>
      </c>
      <c r="L959" s="5">
        <f t="shared" si="43"/>
        <v>42.857142857142854</v>
      </c>
      <c r="M959" s="7">
        <f t="shared" si="44"/>
        <v>60000</v>
      </c>
      <c r="N959" s="7"/>
      <c r="O959" s="7"/>
    </row>
    <row r="960" spans="1:15" x14ac:dyDescent="0.25">
      <c r="A960" t="s">
        <v>968</v>
      </c>
      <c r="B960" t="s">
        <v>6</v>
      </c>
      <c r="C960" t="s">
        <v>2</v>
      </c>
      <c r="D960">
        <v>9</v>
      </c>
      <c r="E960">
        <v>35000</v>
      </c>
      <c r="F960">
        <v>-55.769851615235901</v>
      </c>
      <c r="G960">
        <v>-10.6803209836271</v>
      </c>
      <c r="H960">
        <v>2583</v>
      </c>
      <c r="I960">
        <v>600</v>
      </c>
      <c r="J960">
        <v>50</v>
      </c>
      <c r="K960" t="str">
        <f t="shared" si="42"/>
        <v>Chicago → Tokyo</v>
      </c>
      <c r="L960" s="5">
        <f t="shared" si="43"/>
        <v>66.666666666666671</v>
      </c>
      <c r="M960" s="7">
        <f t="shared" si="44"/>
        <v>30000</v>
      </c>
      <c r="N960" s="7"/>
      <c r="O960" s="7"/>
    </row>
    <row r="961" spans="1:15" x14ac:dyDescent="0.25">
      <c r="A961" t="s">
        <v>969</v>
      </c>
      <c r="B961" t="s">
        <v>28</v>
      </c>
      <c r="C961" t="s">
        <v>9</v>
      </c>
      <c r="D961">
        <v>9</v>
      </c>
      <c r="E961">
        <v>30000</v>
      </c>
      <c r="F961">
        <v>-169.16260600392499</v>
      </c>
      <c r="G961">
        <v>68.384632810862598</v>
      </c>
      <c r="H961">
        <v>2800</v>
      </c>
      <c r="I961">
        <v>356</v>
      </c>
      <c r="J961">
        <v>120</v>
      </c>
      <c r="K961" t="str">
        <f t="shared" si="42"/>
        <v>New York → Sydney</v>
      </c>
      <c r="L961" s="5">
        <f t="shared" si="43"/>
        <v>39.555555555555557</v>
      </c>
      <c r="M961" s="7">
        <f t="shared" si="44"/>
        <v>42720</v>
      </c>
      <c r="N961" s="7"/>
      <c r="O961" s="7"/>
    </row>
    <row r="962" spans="1:15" x14ac:dyDescent="0.25">
      <c r="A962" t="s">
        <v>970</v>
      </c>
      <c r="B962" t="s">
        <v>1</v>
      </c>
      <c r="C962" t="s">
        <v>13</v>
      </c>
      <c r="D962">
        <v>12</v>
      </c>
      <c r="E962">
        <v>30000</v>
      </c>
      <c r="F962">
        <v>166.13723684668</v>
      </c>
      <c r="G962">
        <v>0.99374251022825899</v>
      </c>
      <c r="H962">
        <v>2000</v>
      </c>
      <c r="I962">
        <v>600</v>
      </c>
      <c r="J962">
        <v>100</v>
      </c>
      <c r="K962" t="str">
        <f t="shared" si="42"/>
        <v>Houston → Paris</v>
      </c>
      <c r="L962" s="5">
        <f t="shared" si="43"/>
        <v>50</v>
      </c>
      <c r="M962" s="7">
        <f t="shared" si="44"/>
        <v>60000</v>
      </c>
      <c r="N962" s="7"/>
      <c r="O962" s="7"/>
    </row>
    <row r="963" spans="1:15" x14ac:dyDescent="0.25">
      <c r="A963" t="s">
        <v>971</v>
      </c>
      <c r="B963" t="s">
        <v>11</v>
      </c>
      <c r="C963" t="s">
        <v>20</v>
      </c>
      <c r="D963">
        <v>12</v>
      </c>
      <c r="E963">
        <v>30000</v>
      </c>
      <c r="F963">
        <v>60.432446412292798</v>
      </c>
      <c r="G963">
        <v>1.3964108739423899</v>
      </c>
      <c r="H963">
        <v>2000</v>
      </c>
      <c r="I963">
        <v>150</v>
      </c>
      <c r="J963">
        <v>50</v>
      </c>
      <c r="K963" t="str">
        <f t="shared" ref="K963:K1001" si="45">B963 &amp; " → " &amp; C963</f>
        <v>Los Angeles → Dubai</v>
      </c>
      <c r="L963" s="5">
        <f t="shared" ref="L963:L1001" si="46">I963/D963</f>
        <v>12.5</v>
      </c>
      <c r="M963" s="7">
        <f t="shared" ref="M963:M1001" si="47">I963*J963</f>
        <v>7500</v>
      </c>
      <c r="N963" s="7"/>
      <c r="O963" s="7"/>
    </row>
    <row r="964" spans="1:15" x14ac:dyDescent="0.25">
      <c r="A964" t="s">
        <v>972</v>
      </c>
      <c r="B964" t="s">
        <v>11</v>
      </c>
      <c r="C964" t="s">
        <v>9</v>
      </c>
      <c r="D964">
        <v>15</v>
      </c>
      <c r="E964">
        <v>35000</v>
      </c>
      <c r="F964">
        <v>155.95383159335</v>
      </c>
      <c r="G964">
        <v>-65.093112950299798</v>
      </c>
      <c r="H964">
        <v>3000</v>
      </c>
      <c r="I964">
        <v>600</v>
      </c>
      <c r="J964">
        <v>200</v>
      </c>
      <c r="K964" t="str">
        <f t="shared" si="45"/>
        <v>Los Angeles → Sydney</v>
      </c>
      <c r="L964" s="5">
        <f t="shared" si="46"/>
        <v>40</v>
      </c>
      <c r="M964" s="7">
        <f t="shared" si="47"/>
        <v>120000</v>
      </c>
      <c r="N964" s="7"/>
      <c r="O964" s="7"/>
    </row>
    <row r="965" spans="1:15" x14ac:dyDescent="0.25">
      <c r="A965" t="s">
        <v>973</v>
      </c>
      <c r="B965" t="s">
        <v>4</v>
      </c>
      <c r="C965" t="s">
        <v>9</v>
      </c>
      <c r="D965">
        <v>10</v>
      </c>
      <c r="E965">
        <v>30000</v>
      </c>
      <c r="F965">
        <v>-84.421293325533995</v>
      </c>
      <c r="G965">
        <v>86.893117363869493</v>
      </c>
      <c r="H965">
        <v>2931</v>
      </c>
      <c r="I965">
        <v>356</v>
      </c>
      <c r="J965">
        <v>105</v>
      </c>
      <c r="K965" t="str">
        <f t="shared" si="45"/>
        <v>Miami → Sydney</v>
      </c>
      <c r="L965" s="5">
        <f t="shared" si="46"/>
        <v>35.6</v>
      </c>
      <c r="M965" s="7">
        <f t="shared" si="47"/>
        <v>37380</v>
      </c>
      <c r="N965" s="7"/>
      <c r="O965" s="7"/>
    </row>
    <row r="966" spans="1:15" x14ac:dyDescent="0.25">
      <c r="A966" t="s">
        <v>974</v>
      </c>
      <c r="B966" t="s">
        <v>6</v>
      </c>
      <c r="C966" t="s">
        <v>2</v>
      </c>
      <c r="D966">
        <v>5</v>
      </c>
      <c r="E966">
        <v>35000</v>
      </c>
      <c r="F966">
        <v>40.126900041237903</v>
      </c>
      <c r="G966">
        <v>-45.0048796436107</v>
      </c>
      <c r="H966">
        <v>3000</v>
      </c>
      <c r="I966">
        <v>450</v>
      </c>
      <c r="J966">
        <v>200</v>
      </c>
      <c r="K966" t="str">
        <f t="shared" si="45"/>
        <v>Chicago → Tokyo</v>
      </c>
      <c r="L966" s="5">
        <f t="shared" si="46"/>
        <v>90</v>
      </c>
      <c r="M966" s="7">
        <f t="shared" si="47"/>
        <v>90000</v>
      </c>
      <c r="N966" s="7"/>
      <c r="O966" s="7"/>
    </row>
    <row r="967" spans="1:15" x14ac:dyDescent="0.25">
      <c r="A967" t="s">
        <v>975</v>
      </c>
      <c r="B967" t="s">
        <v>11</v>
      </c>
      <c r="C967" t="s">
        <v>15</v>
      </c>
      <c r="D967">
        <v>9</v>
      </c>
      <c r="E967">
        <v>35000</v>
      </c>
      <c r="F967">
        <v>64.259988585349603</v>
      </c>
      <c r="G967">
        <v>-76.794467857271499</v>
      </c>
      <c r="H967">
        <v>2760</v>
      </c>
      <c r="I967">
        <v>450</v>
      </c>
      <c r="J967">
        <v>100</v>
      </c>
      <c r="K967" t="str">
        <f t="shared" si="45"/>
        <v>Los Angeles → London</v>
      </c>
      <c r="L967" s="5">
        <f t="shared" si="46"/>
        <v>50</v>
      </c>
      <c r="M967" s="7">
        <f t="shared" si="47"/>
        <v>45000</v>
      </c>
      <c r="N967" s="7"/>
      <c r="O967" s="7"/>
    </row>
    <row r="968" spans="1:15" x14ac:dyDescent="0.25">
      <c r="A968" t="s">
        <v>976</v>
      </c>
      <c r="B968" t="s">
        <v>28</v>
      </c>
      <c r="C968" t="s">
        <v>13</v>
      </c>
      <c r="D968">
        <v>12</v>
      </c>
      <c r="E968">
        <v>30000</v>
      </c>
      <c r="F968">
        <v>-65.682107907268204</v>
      </c>
      <c r="G968">
        <v>29.366324815537599</v>
      </c>
      <c r="H968">
        <v>2500</v>
      </c>
      <c r="I968">
        <v>150</v>
      </c>
      <c r="J968">
        <v>200</v>
      </c>
      <c r="K968" t="str">
        <f t="shared" si="45"/>
        <v>New York → Paris</v>
      </c>
      <c r="L968" s="5">
        <f t="shared" si="46"/>
        <v>12.5</v>
      </c>
      <c r="M968" s="7">
        <f t="shared" si="47"/>
        <v>30000</v>
      </c>
      <c r="N968" s="7"/>
      <c r="O968" s="7"/>
    </row>
    <row r="969" spans="1:15" x14ac:dyDescent="0.25">
      <c r="A969" t="s">
        <v>977</v>
      </c>
      <c r="B969" t="s">
        <v>4</v>
      </c>
      <c r="C969" t="s">
        <v>15</v>
      </c>
      <c r="D969">
        <v>5</v>
      </c>
      <c r="E969">
        <v>30000</v>
      </c>
      <c r="F969">
        <v>125.319324605627</v>
      </c>
      <c r="G969">
        <v>17.165946628237101</v>
      </c>
      <c r="H969">
        <v>3000</v>
      </c>
      <c r="I969">
        <v>450</v>
      </c>
      <c r="J969">
        <v>150</v>
      </c>
      <c r="K969" t="str">
        <f t="shared" si="45"/>
        <v>Miami → London</v>
      </c>
      <c r="L969" s="5">
        <f t="shared" si="46"/>
        <v>90</v>
      </c>
      <c r="M969" s="7">
        <f t="shared" si="47"/>
        <v>67500</v>
      </c>
      <c r="N969" s="7"/>
      <c r="O969" s="7"/>
    </row>
    <row r="970" spans="1:15" x14ac:dyDescent="0.25">
      <c r="A970" t="s">
        <v>978</v>
      </c>
      <c r="B970" t="s">
        <v>1</v>
      </c>
      <c r="C970" t="s">
        <v>13</v>
      </c>
      <c r="D970">
        <v>12</v>
      </c>
      <c r="E970">
        <v>35000</v>
      </c>
      <c r="F970">
        <v>160.978126644089</v>
      </c>
      <c r="G970">
        <v>-15.273782281305801</v>
      </c>
      <c r="H970">
        <v>2647</v>
      </c>
      <c r="I970">
        <v>600</v>
      </c>
      <c r="J970">
        <v>113</v>
      </c>
      <c r="K970" t="str">
        <f t="shared" si="45"/>
        <v>Houston → Paris</v>
      </c>
      <c r="L970" s="5">
        <f t="shared" si="46"/>
        <v>50</v>
      </c>
      <c r="M970" s="7">
        <f t="shared" si="47"/>
        <v>67800</v>
      </c>
      <c r="N970" s="7"/>
      <c r="O970" s="7"/>
    </row>
    <row r="971" spans="1:15" x14ac:dyDescent="0.25">
      <c r="A971" t="s">
        <v>979</v>
      </c>
      <c r="B971" t="s">
        <v>4</v>
      </c>
      <c r="C971" t="s">
        <v>13</v>
      </c>
      <c r="D971">
        <v>9</v>
      </c>
      <c r="E971">
        <v>30000</v>
      </c>
      <c r="F971">
        <v>138.54784237056199</v>
      </c>
      <c r="G971">
        <v>-14.005397901478</v>
      </c>
      <c r="H971">
        <v>2500</v>
      </c>
      <c r="I971">
        <v>150</v>
      </c>
      <c r="J971">
        <v>150</v>
      </c>
      <c r="K971" t="str">
        <f t="shared" si="45"/>
        <v>Miami → Paris</v>
      </c>
      <c r="L971" s="5">
        <f t="shared" si="46"/>
        <v>16.666666666666668</v>
      </c>
      <c r="M971" s="7">
        <f t="shared" si="47"/>
        <v>22500</v>
      </c>
      <c r="N971" s="7"/>
      <c r="O971" s="7"/>
    </row>
    <row r="972" spans="1:15" x14ac:dyDescent="0.25">
      <c r="A972" t="s">
        <v>980</v>
      </c>
      <c r="B972" t="s">
        <v>1</v>
      </c>
      <c r="C972" t="s">
        <v>15</v>
      </c>
      <c r="D972">
        <v>12</v>
      </c>
      <c r="E972">
        <v>30000</v>
      </c>
      <c r="F972">
        <v>86.064111338174101</v>
      </c>
      <c r="G972">
        <v>51.3115057883576</v>
      </c>
      <c r="H972">
        <v>2500</v>
      </c>
      <c r="I972">
        <v>374</v>
      </c>
      <c r="J972">
        <v>150</v>
      </c>
      <c r="K972" t="str">
        <f t="shared" si="45"/>
        <v>Houston → London</v>
      </c>
      <c r="L972" s="5">
        <f t="shared" si="46"/>
        <v>31.166666666666668</v>
      </c>
      <c r="M972" s="7">
        <f t="shared" si="47"/>
        <v>56100</v>
      </c>
      <c r="N972" s="7"/>
      <c r="O972" s="7"/>
    </row>
    <row r="973" spans="1:15" x14ac:dyDescent="0.25">
      <c r="A973" t="s">
        <v>981</v>
      </c>
      <c r="B973" t="s">
        <v>4</v>
      </c>
      <c r="C973" t="s">
        <v>9</v>
      </c>
      <c r="D973">
        <v>10</v>
      </c>
      <c r="E973">
        <v>35000</v>
      </c>
      <c r="F973">
        <v>-80.1127152990165</v>
      </c>
      <c r="G973">
        <v>-54.771724782063202</v>
      </c>
      <c r="H973">
        <v>3500</v>
      </c>
      <c r="I973">
        <v>150</v>
      </c>
      <c r="J973">
        <v>100</v>
      </c>
      <c r="K973" t="str">
        <f t="shared" si="45"/>
        <v>Miami → Sydney</v>
      </c>
      <c r="L973" s="5">
        <f t="shared" si="46"/>
        <v>15</v>
      </c>
      <c r="M973" s="7">
        <f t="shared" si="47"/>
        <v>15000</v>
      </c>
      <c r="N973" s="7"/>
      <c r="O973" s="7"/>
    </row>
    <row r="974" spans="1:15" x14ac:dyDescent="0.25">
      <c r="A974" t="s">
        <v>982</v>
      </c>
      <c r="B974" t="s">
        <v>4</v>
      </c>
      <c r="C974" t="s">
        <v>13</v>
      </c>
      <c r="D974">
        <v>8</v>
      </c>
      <c r="E974">
        <v>30000</v>
      </c>
      <c r="F974">
        <v>-78.618224841972605</v>
      </c>
      <c r="G974">
        <v>57.6455974100801</v>
      </c>
      <c r="H974">
        <v>2500</v>
      </c>
      <c r="I974">
        <v>150</v>
      </c>
      <c r="J974">
        <v>50</v>
      </c>
      <c r="K974" t="str">
        <f t="shared" si="45"/>
        <v>Miami → Paris</v>
      </c>
      <c r="L974" s="5">
        <f t="shared" si="46"/>
        <v>18.75</v>
      </c>
      <c r="M974" s="7">
        <f t="shared" si="47"/>
        <v>7500</v>
      </c>
      <c r="N974" s="7"/>
      <c r="O974" s="7"/>
    </row>
    <row r="975" spans="1:15" x14ac:dyDescent="0.25">
      <c r="A975" t="s">
        <v>983</v>
      </c>
      <c r="B975" t="s">
        <v>4</v>
      </c>
      <c r="C975" t="s">
        <v>15</v>
      </c>
      <c r="D975">
        <v>8</v>
      </c>
      <c r="E975">
        <v>30000</v>
      </c>
      <c r="F975">
        <v>166.80971536057399</v>
      </c>
      <c r="G975">
        <v>26.774480501103302</v>
      </c>
      <c r="H975">
        <v>2615</v>
      </c>
      <c r="I975">
        <v>374</v>
      </c>
      <c r="J975">
        <v>121</v>
      </c>
      <c r="K975" t="str">
        <f t="shared" si="45"/>
        <v>Miami → London</v>
      </c>
      <c r="L975" s="5">
        <f t="shared" si="46"/>
        <v>46.75</v>
      </c>
      <c r="M975" s="7">
        <f t="shared" si="47"/>
        <v>45254</v>
      </c>
      <c r="N975" s="7"/>
      <c r="O975" s="7"/>
    </row>
    <row r="976" spans="1:15" x14ac:dyDescent="0.25">
      <c r="A976" t="s">
        <v>984</v>
      </c>
      <c r="B976" t="s">
        <v>1</v>
      </c>
      <c r="C976" t="s">
        <v>13</v>
      </c>
      <c r="D976">
        <v>9</v>
      </c>
      <c r="E976">
        <v>30000</v>
      </c>
      <c r="F976">
        <v>-176.297581463151</v>
      </c>
      <c r="G976">
        <v>-14.5854407196856</v>
      </c>
      <c r="H976">
        <v>2647</v>
      </c>
      <c r="I976">
        <v>354</v>
      </c>
      <c r="J976">
        <v>113</v>
      </c>
      <c r="K976" t="str">
        <f t="shared" si="45"/>
        <v>Houston → Paris</v>
      </c>
      <c r="L976" s="5">
        <f t="shared" si="46"/>
        <v>39.333333333333336</v>
      </c>
      <c r="M976" s="7">
        <f t="shared" si="47"/>
        <v>40002</v>
      </c>
      <c r="N976" s="7"/>
      <c r="O976" s="7"/>
    </row>
    <row r="977" spans="1:15" x14ac:dyDescent="0.25">
      <c r="A977" t="s">
        <v>985</v>
      </c>
      <c r="B977" t="s">
        <v>1</v>
      </c>
      <c r="C977" t="s">
        <v>20</v>
      </c>
      <c r="D977">
        <v>8</v>
      </c>
      <c r="E977">
        <v>30000</v>
      </c>
      <c r="F977">
        <v>77.777990367171995</v>
      </c>
      <c r="G977">
        <v>-7.5548490149036498</v>
      </c>
      <c r="H977">
        <v>2500</v>
      </c>
      <c r="I977">
        <v>402</v>
      </c>
      <c r="J977">
        <v>111</v>
      </c>
      <c r="K977" t="str">
        <f t="shared" si="45"/>
        <v>Houston → Dubai</v>
      </c>
      <c r="L977" s="5">
        <f t="shared" si="46"/>
        <v>50.25</v>
      </c>
      <c r="M977" s="7">
        <f t="shared" si="47"/>
        <v>44622</v>
      </c>
      <c r="N977" s="7"/>
      <c r="O977" s="7"/>
    </row>
    <row r="978" spans="1:15" x14ac:dyDescent="0.25">
      <c r="A978" t="s">
        <v>986</v>
      </c>
      <c r="B978" t="s">
        <v>4</v>
      </c>
      <c r="C978" t="s">
        <v>9</v>
      </c>
      <c r="D978">
        <v>5</v>
      </c>
      <c r="E978">
        <v>32000</v>
      </c>
      <c r="F978">
        <v>74.248618519894407</v>
      </c>
      <c r="G978">
        <v>-43.803502706502698</v>
      </c>
      <c r="H978">
        <v>2931</v>
      </c>
      <c r="I978">
        <v>450</v>
      </c>
      <c r="J978">
        <v>200</v>
      </c>
      <c r="K978" t="str">
        <f t="shared" si="45"/>
        <v>Miami → Sydney</v>
      </c>
      <c r="L978" s="5">
        <f t="shared" si="46"/>
        <v>90</v>
      </c>
      <c r="M978" s="7">
        <f t="shared" si="47"/>
        <v>90000</v>
      </c>
      <c r="N978" s="7"/>
      <c r="O978" s="7"/>
    </row>
    <row r="979" spans="1:15" x14ac:dyDescent="0.25">
      <c r="A979" t="s">
        <v>987</v>
      </c>
      <c r="B979" t="s">
        <v>11</v>
      </c>
      <c r="C979" t="s">
        <v>2</v>
      </c>
      <c r="D979">
        <v>10</v>
      </c>
      <c r="E979">
        <v>30000</v>
      </c>
      <c r="F979">
        <v>44.168234741927101</v>
      </c>
      <c r="G979">
        <v>45.380579885455496</v>
      </c>
      <c r="H979">
        <v>2586</v>
      </c>
      <c r="I979">
        <v>397</v>
      </c>
      <c r="J979">
        <v>119</v>
      </c>
      <c r="K979" t="str">
        <f t="shared" si="45"/>
        <v>Los Angeles → Tokyo</v>
      </c>
      <c r="L979" s="5">
        <f t="shared" si="46"/>
        <v>39.700000000000003</v>
      </c>
      <c r="M979" s="7">
        <f t="shared" si="47"/>
        <v>47243</v>
      </c>
      <c r="N979" s="7"/>
      <c r="O979" s="7"/>
    </row>
    <row r="980" spans="1:15" x14ac:dyDescent="0.25">
      <c r="A980" t="s">
        <v>988</v>
      </c>
      <c r="B980" t="s">
        <v>6</v>
      </c>
      <c r="C980" t="s">
        <v>13</v>
      </c>
      <c r="D980">
        <v>10</v>
      </c>
      <c r="E980">
        <v>30000</v>
      </c>
      <c r="F980">
        <v>176.43918459127201</v>
      </c>
      <c r="G980">
        <v>2.3174536149481901</v>
      </c>
      <c r="H980">
        <v>2928</v>
      </c>
      <c r="I980">
        <v>354</v>
      </c>
      <c r="J980">
        <v>121</v>
      </c>
      <c r="K980" t="str">
        <f t="shared" si="45"/>
        <v>Chicago → Paris</v>
      </c>
      <c r="L980" s="5">
        <f t="shared" si="46"/>
        <v>35.4</v>
      </c>
      <c r="M980" s="7">
        <f t="shared" si="47"/>
        <v>42834</v>
      </c>
      <c r="N980" s="7"/>
      <c r="O980" s="7"/>
    </row>
    <row r="981" spans="1:15" x14ac:dyDescent="0.25">
      <c r="A981" t="s">
        <v>989</v>
      </c>
      <c r="B981" t="s">
        <v>6</v>
      </c>
      <c r="C981" t="s">
        <v>20</v>
      </c>
      <c r="D981">
        <v>5</v>
      </c>
      <c r="E981">
        <v>30000</v>
      </c>
      <c r="F981">
        <v>-67.723403125058894</v>
      </c>
      <c r="G981">
        <v>-32.246182305028199</v>
      </c>
      <c r="H981">
        <v>3500</v>
      </c>
      <c r="I981">
        <v>600</v>
      </c>
      <c r="J981">
        <v>50</v>
      </c>
      <c r="K981" t="str">
        <f t="shared" si="45"/>
        <v>Chicago → Dubai</v>
      </c>
      <c r="L981" s="5">
        <f t="shared" si="46"/>
        <v>120</v>
      </c>
      <c r="M981" s="7">
        <f t="shared" si="47"/>
        <v>30000</v>
      </c>
      <c r="N981" s="7"/>
      <c r="O981" s="7"/>
    </row>
    <row r="982" spans="1:15" x14ac:dyDescent="0.25">
      <c r="A982" t="s">
        <v>990</v>
      </c>
      <c r="B982" t="s">
        <v>6</v>
      </c>
      <c r="C982" t="s">
        <v>2</v>
      </c>
      <c r="D982">
        <v>12</v>
      </c>
      <c r="E982">
        <v>35000</v>
      </c>
      <c r="F982">
        <v>-57.610129034430699</v>
      </c>
      <c r="G982">
        <v>17.289020836971101</v>
      </c>
      <c r="H982">
        <v>2000</v>
      </c>
      <c r="I982">
        <v>300</v>
      </c>
      <c r="J982">
        <v>200</v>
      </c>
      <c r="K982" t="str">
        <f t="shared" si="45"/>
        <v>Chicago → Tokyo</v>
      </c>
      <c r="L982" s="5">
        <f t="shared" si="46"/>
        <v>25</v>
      </c>
      <c r="M982" s="7">
        <f t="shared" si="47"/>
        <v>60000</v>
      </c>
      <c r="N982" s="7"/>
      <c r="O982" s="7"/>
    </row>
    <row r="983" spans="1:15" x14ac:dyDescent="0.25">
      <c r="A983" t="s">
        <v>991</v>
      </c>
      <c r="B983" t="s">
        <v>1</v>
      </c>
      <c r="C983" t="s">
        <v>2</v>
      </c>
      <c r="D983">
        <v>5</v>
      </c>
      <c r="E983">
        <v>30000</v>
      </c>
      <c r="F983">
        <v>-151.58181493923999</v>
      </c>
      <c r="G983">
        <v>89.232201369238098</v>
      </c>
      <c r="H983">
        <v>2500</v>
      </c>
      <c r="I983">
        <v>150</v>
      </c>
      <c r="J983">
        <v>100</v>
      </c>
      <c r="K983" t="str">
        <f t="shared" si="45"/>
        <v>Houston → Tokyo</v>
      </c>
      <c r="L983" s="5">
        <f t="shared" si="46"/>
        <v>30</v>
      </c>
      <c r="M983" s="7">
        <f t="shared" si="47"/>
        <v>15000</v>
      </c>
      <c r="N983" s="7"/>
      <c r="O983" s="7"/>
    </row>
    <row r="984" spans="1:15" x14ac:dyDescent="0.25">
      <c r="A984" t="s">
        <v>992</v>
      </c>
      <c r="B984" t="s">
        <v>1</v>
      </c>
      <c r="C984" t="s">
        <v>13</v>
      </c>
      <c r="D984">
        <v>9</v>
      </c>
      <c r="E984">
        <v>30000</v>
      </c>
      <c r="F984">
        <v>-20.592670844254499</v>
      </c>
      <c r="G984">
        <v>-11.6527896618203</v>
      </c>
      <c r="H984">
        <v>2500</v>
      </c>
      <c r="I984">
        <v>450</v>
      </c>
      <c r="J984">
        <v>113</v>
      </c>
      <c r="K984" t="str">
        <f t="shared" si="45"/>
        <v>Houston → Paris</v>
      </c>
      <c r="L984" s="5">
        <f t="shared" si="46"/>
        <v>50</v>
      </c>
      <c r="M984" s="7">
        <f t="shared" si="47"/>
        <v>50850</v>
      </c>
      <c r="N984" s="7"/>
      <c r="O984" s="7"/>
    </row>
    <row r="985" spans="1:15" x14ac:dyDescent="0.25">
      <c r="A985" t="s">
        <v>993</v>
      </c>
      <c r="B985" t="s">
        <v>11</v>
      </c>
      <c r="C985" t="s">
        <v>15</v>
      </c>
      <c r="D985">
        <v>9</v>
      </c>
      <c r="E985">
        <v>30000</v>
      </c>
      <c r="F985">
        <v>-86.022530555454694</v>
      </c>
      <c r="G985">
        <v>75.724452140151499</v>
      </c>
      <c r="H985">
        <v>2000</v>
      </c>
      <c r="I985">
        <v>600</v>
      </c>
      <c r="J985">
        <v>131</v>
      </c>
      <c r="K985" t="str">
        <f t="shared" si="45"/>
        <v>Los Angeles → London</v>
      </c>
      <c r="L985" s="5">
        <f t="shared" si="46"/>
        <v>66.666666666666671</v>
      </c>
      <c r="M985" s="7">
        <f t="shared" si="47"/>
        <v>78600</v>
      </c>
      <c r="N985" s="7"/>
      <c r="O985" s="7"/>
    </row>
    <row r="986" spans="1:15" x14ac:dyDescent="0.25">
      <c r="A986" t="s">
        <v>994</v>
      </c>
      <c r="B986" t="s">
        <v>6</v>
      </c>
      <c r="C986" t="s">
        <v>13</v>
      </c>
      <c r="D986">
        <v>15</v>
      </c>
      <c r="E986">
        <v>32000</v>
      </c>
      <c r="F986">
        <v>-56.380787216048098</v>
      </c>
      <c r="G986">
        <v>-27.896968813578098</v>
      </c>
      <c r="H986">
        <v>3500</v>
      </c>
      <c r="I986">
        <v>300</v>
      </c>
      <c r="J986">
        <v>100</v>
      </c>
      <c r="K986" t="str">
        <f t="shared" si="45"/>
        <v>Chicago → Paris</v>
      </c>
      <c r="L986" s="5">
        <f t="shared" si="46"/>
        <v>20</v>
      </c>
      <c r="M986" s="7">
        <f t="shared" si="47"/>
        <v>30000</v>
      </c>
      <c r="N986" s="7"/>
      <c r="O986" s="7"/>
    </row>
    <row r="987" spans="1:15" x14ac:dyDescent="0.25">
      <c r="A987" t="s">
        <v>995</v>
      </c>
      <c r="B987" t="s">
        <v>6</v>
      </c>
      <c r="C987" t="s">
        <v>20</v>
      </c>
      <c r="D987">
        <v>10</v>
      </c>
      <c r="E987">
        <v>30000</v>
      </c>
      <c r="F987">
        <v>120.445844492026</v>
      </c>
      <c r="G987">
        <v>-80.148112753502502</v>
      </c>
      <c r="H987">
        <v>2636</v>
      </c>
      <c r="I987">
        <v>402</v>
      </c>
      <c r="J987">
        <v>114</v>
      </c>
      <c r="K987" t="str">
        <f t="shared" si="45"/>
        <v>Chicago → Dubai</v>
      </c>
      <c r="L987" s="5">
        <f t="shared" si="46"/>
        <v>40.200000000000003</v>
      </c>
      <c r="M987" s="7">
        <f t="shared" si="47"/>
        <v>45828</v>
      </c>
      <c r="N987" s="7"/>
      <c r="O987" s="7"/>
    </row>
    <row r="988" spans="1:15" x14ac:dyDescent="0.25">
      <c r="A988" t="s">
        <v>996</v>
      </c>
      <c r="B988" t="s">
        <v>4</v>
      </c>
      <c r="C988" t="s">
        <v>2</v>
      </c>
      <c r="D988">
        <v>9</v>
      </c>
      <c r="E988">
        <v>30000</v>
      </c>
      <c r="F988">
        <v>156.77442486989801</v>
      </c>
      <c r="G988">
        <v>-53.236420853682802</v>
      </c>
      <c r="H988">
        <v>2729</v>
      </c>
      <c r="I988">
        <v>397</v>
      </c>
      <c r="J988">
        <v>126</v>
      </c>
      <c r="K988" t="str">
        <f t="shared" si="45"/>
        <v>Miami → Tokyo</v>
      </c>
      <c r="L988" s="5">
        <f t="shared" si="46"/>
        <v>44.111111111111114</v>
      </c>
      <c r="M988" s="7">
        <f t="shared" si="47"/>
        <v>50022</v>
      </c>
      <c r="N988" s="7"/>
      <c r="O988" s="7"/>
    </row>
    <row r="989" spans="1:15" x14ac:dyDescent="0.25">
      <c r="A989" t="s">
        <v>997</v>
      </c>
      <c r="B989" t="s">
        <v>1</v>
      </c>
      <c r="C989" t="s">
        <v>13</v>
      </c>
      <c r="D989">
        <v>9</v>
      </c>
      <c r="E989">
        <v>30000</v>
      </c>
      <c r="F989">
        <v>-113.136094078133</v>
      </c>
      <c r="G989">
        <v>-14.6348742010168</v>
      </c>
      <c r="H989">
        <v>3000</v>
      </c>
      <c r="I989">
        <v>450</v>
      </c>
      <c r="J989">
        <v>113</v>
      </c>
      <c r="K989" t="str">
        <f t="shared" si="45"/>
        <v>Houston → Paris</v>
      </c>
      <c r="L989" s="5">
        <f t="shared" si="46"/>
        <v>50</v>
      </c>
      <c r="M989" s="7">
        <f t="shared" si="47"/>
        <v>50850</v>
      </c>
      <c r="N989" s="7"/>
      <c r="O989" s="7"/>
    </row>
    <row r="990" spans="1:15" x14ac:dyDescent="0.25">
      <c r="A990" t="s">
        <v>998</v>
      </c>
      <c r="B990" t="s">
        <v>6</v>
      </c>
      <c r="C990" t="s">
        <v>15</v>
      </c>
      <c r="D990">
        <v>9</v>
      </c>
      <c r="E990">
        <v>35000</v>
      </c>
      <c r="F990">
        <v>-45.896784640752301</v>
      </c>
      <c r="G990">
        <v>-50.465712852977603</v>
      </c>
      <c r="H990">
        <v>2678</v>
      </c>
      <c r="I990">
        <v>150</v>
      </c>
      <c r="J990">
        <v>200</v>
      </c>
      <c r="K990" t="str">
        <f t="shared" si="45"/>
        <v>Chicago → London</v>
      </c>
      <c r="L990" s="5">
        <f t="shared" si="46"/>
        <v>16.666666666666668</v>
      </c>
      <c r="M990" s="7">
        <f t="shared" si="47"/>
        <v>30000</v>
      </c>
      <c r="N990" s="7"/>
      <c r="O990" s="7"/>
    </row>
    <row r="991" spans="1:15" x14ac:dyDescent="0.25">
      <c r="A991" t="s">
        <v>999</v>
      </c>
      <c r="B991" t="s">
        <v>11</v>
      </c>
      <c r="C991" t="s">
        <v>13</v>
      </c>
      <c r="D991">
        <v>8</v>
      </c>
      <c r="E991">
        <v>30000</v>
      </c>
      <c r="F991">
        <v>154.307002361542</v>
      </c>
      <c r="G991">
        <v>-89.959133120714</v>
      </c>
      <c r="H991">
        <v>2882</v>
      </c>
      <c r="I991">
        <v>354</v>
      </c>
      <c r="J991">
        <v>125</v>
      </c>
      <c r="K991" t="str">
        <f t="shared" si="45"/>
        <v>Los Angeles → Paris</v>
      </c>
      <c r="L991" s="5">
        <f t="shared" si="46"/>
        <v>44.25</v>
      </c>
      <c r="M991" s="7">
        <f t="shared" si="47"/>
        <v>44250</v>
      </c>
      <c r="N991" s="7"/>
      <c r="O991" s="7"/>
    </row>
    <row r="992" spans="1:15" x14ac:dyDescent="0.25">
      <c r="A992" t="s">
        <v>1000</v>
      </c>
      <c r="B992" t="s">
        <v>11</v>
      </c>
      <c r="C992" t="s">
        <v>9</v>
      </c>
      <c r="D992">
        <v>8</v>
      </c>
      <c r="E992">
        <v>30000</v>
      </c>
      <c r="F992">
        <v>-157.74895415188001</v>
      </c>
      <c r="G992">
        <v>74.700276794554895</v>
      </c>
      <c r="H992">
        <v>3000</v>
      </c>
      <c r="I992">
        <v>356</v>
      </c>
      <c r="J992">
        <v>145</v>
      </c>
      <c r="K992" t="str">
        <f t="shared" si="45"/>
        <v>Los Angeles → Sydney</v>
      </c>
      <c r="L992" s="5">
        <f t="shared" si="46"/>
        <v>44.5</v>
      </c>
      <c r="M992" s="7">
        <f t="shared" si="47"/>
        <v>51620</v>
      </c>
      <c r="N992" s="7"/>
      <c r="O992" s="7"/>
    </row>
    <row r="993" spans="1:15" x14ac:dyDescent="0.25">
      <c r="A993" t="s">
        <v>1001</v>
      </c>
      <c r="B993" t="s">
        <v>6</v>
      </c>
      <c r="C993" t="s">
        <v>15</v>
      </c>
      <c r="D993">
        <v>9</v>
      </c>
      <c r="E993">
        <v>30000</v>
      </c>
      <c r="F993">
        <v>-146.75020987990399</v>
      </c>
      <c r="G993">
        <v>61.898294021567203</v>
      </c>
      <c r="H993">
        <v>2678</v>
      </c>
      <c r="I993">
        <v>374</v>
      </c>
      <c r="J993">
        <v>116</v>
      </c>
      <c r="K993" t="str">
        <f t="shared" si="45"/>
        <v>Chicago → London</v>
      </c>
      <c r="L993" s="5">
        <f t="shared" si="46"/>
        <v>41.555555555555557</v>
      </c>
      <c r="M993" s="7">
        <f t="shared" si="47"/>
        <v>43384</v>
      </c>
      <c r="N993" s="7"/>
      <c r="O993" s="7"/>
    </row>
    <row r="994" spans="1:15" x14ac:dyDescent="0.25">
      <c r="A994" t="s">
        <v>1002</v>
      </c>
      <c r="B994" t="s">
        <v>1</v>
      </c>
      <c r="C994" t="s">
        <v>20</v>
      </c>
      <c r="D994">
        <v>9</v>
      </c>
      <c r="E994">
        <v>32000</v>
      </c>
      <c r="F994">
        <v>-121.395243885757</v>
      </c>
      <c r="G994">
        <v>43.612601667650502</v>
      </c>
      <c r="H994">
        <v>2000</v>
      </c>
      <c r="I994">
        <v>300</v>
      </c>
      <c r="J994">
        <v>50</v>
      </c>
      <c r="K994" t="str">
        <f t="shared" si="45"/>
        <v>Houston → Dubai</v>
      </c>
      <c r="L994" s="5">
        <f t="shared" si="46"/>
        <v>33.333333333333336</v>
      </c>
      <c r="M994" s="7">
        <f t="shared" si="47"/>
        <v>15000</v>
      </c>
      <c r="N994" s="7"/>
      <c r="O994" s="7"/>
    </row>
    <row r="995" spans="1:15" x14ac:dyDescent="0.25">
      <c r="A995" t="s">
        <v>1003</v>
      </c>
      <c r="B995" t="s">
        <v>11</v>
      </c>
      <c r="C995" t="s">
        <v>2</v>
      </c>
      <c r="D995">
        <v>12</v>
      </c>
      <c r="E995">
        <v>30000</v>
      </c>
      <c r="F995">
        <v>34.276620285674902</v>
      </c>
      <c r="G995">
        <v>-59.793372783714801</v>
      </c>
      <c r="H995">
        <v>3500</v>
      </c>
      <c r="I995">
        <v>600</v>
      </c>
      <c r="J995">
        <v>100</v>
      </c>
      <c r="K995" t="str">
        <f t="shared" si="45"/>
        <v>Los Angeles → Tokyo</v>
      </c>
      <c r="L995" s="5">
        <f t="shared" si="46"/>
        <v>50</v>
      </c>
      <c r="M995" s="7">
        <f t="shared" si="47"/>
        <v>60000</v>
      </c>
      <c r="N995" s="7"/>
      <c r="O995" s="7"/>
    </row>
    <row r="996" spans="1:15" x14ac:dyDescent="0.25">
      <c r="A996" t="s">
        <v>1004</v>
      </c>
      <c r="B996" t="s">
        <v>4</v>
      </c>
      <c r="C996" t="s">
        <v>13</v>
      </c>
      <c r="D996">
        <v>8</v>
      </c>
      <c r="E996">
        <v>30000</v>
      </c>
      <c r="F996">
        <v>-125.829982437841</v>
      </c>
      <c r="G996">
        <v>-68.334556282202499</v>
      </c>
      <c r="H996">
        <v>2718</v>
      </c>
      <c r="I996">
        <v>354</v>
      </c>
      <c r="J996">
        <v>115</v>
      </c>
      <c r="K996" t="str">
        <f t="shared" si="45"/>
        <v>Miami → Paris</v>
      </c>
      <c r="L996" s="5">
        <f t="shared" si="46"/>
        <v>44.25</v>
      </c>
      <c r="M996" s="7">
        <f t="shared" si="47"/>
        <v>40710</v>
      </c>
      <c r="N996" s="7"/>
      <c r="O996" s="7"/>
    </row>
    <row r="997" spans="1:15" x14ac:dyDescent="0.25">
      <c r="A997" t="s">
        <v>1005</v>
      </c>
      <c r="B997" t="s">
        <v>11</v>
      </c>
      <c r="C997" t="s">
        <v>15</v>
      </c>
      <c r="D997">
        <v>8</v>
      </c>
      <c r="E997">
        <v>30000</v>
      </c>
      <c r="F997">
        <v>168.50749732226399</v>
      </c>
      <c r="G997">
        <v>-77.831145094971006</v>
      </c>
      <c r="H997">
        <v>2760</v>
      </c>
      <c r="I997">
        <v>374</v>
      </c>
      <c r="J997">
        <v>131</v>
      </c>
      <c r="K997" t="str">
        <f t="shared" si="45"/>
        <v>Los Angeles → London</v>
      </c>
      <c r="L997" s="5">
        <f t="shared" si="46"/>
        <v>46.75</v>
      </c>
      <c r="M997" s="7">
        <f t="shared" si="47"/>
        <v>48994</v>
      </c>
      <c r="N997" s="7"/>
      <c r="O997" s="7"/>
    </row>
    <row r="998" spans="1:15" x14ac:dyDescent="0.25">
      <c r="A998" t="s">
        <v>1006</v>
      </c>
      <c r="B998" t="s">
        <v>28</v>
      </c>
      <c r="C998" t="s">
        <v>9</v>
      </c>
      <c r="D998">
        <v>5</v>
      </c>
      <c r="E998">
        <v>30000</v>
      </c>
      <c r="F998">
        <v>-19.1827701869327</v>
      </c>
      <c r="G998">
        <v>40.325253979125797</v>
      </c>
      <c r="H998">
        <v>2800</v>
      </c>
      <c r="I998">
        <v>600</v>
      </c>
      <c r="J998">
        <v>200</v>
      </c>
      <c r="K998" t="str">
        <f t="shared" si="45"/>
        <v>New York → Sydney</v>
      </c>
      <c r="L998" s="5">
        <f t="shared" si="46"/>
        <v>120</v>
      </c>
      <c r="M998" s="7">
        <f t="shared" si="47"/>
        <v>120000</v>
      </c>
      <c r="N998" s="7"/>
      <c r="O998" s="7"/>
    </row>
    <row r="999" spans="1:15" x14ac:dyDescent="0.25">
      <c r="A999" t="s">
        <v>1007</v>
      </c>
      <c r="B999" t="s">
        <v>28</v>
      </c>
      <c r="C999" t="s">
        <v>15</v>
      </c>
      <c r="D999">
        <v>9</v>
      </c>
      <c r="E999">
        <v>30000</v>
      </c>
      <c r="F999">
        <v>0.54646572605989296</v>
      </c>
      <c r="G999">
        <v>77.185432923819306</v>
      </c>
      <c r="H999">
        <v>2760</v>
      </c>
      <c r="I999">
        <v>374</v>
      </c>
      <c r="J999">
        <v>107</v>
      </c>
      <c r="K999" t="str">
        <f t="shared" si="45"/>
        <v>New York → London</v>
      </c>
      <c r="L999" s="5">
        <f t="shared" si="46"/>
        <v>41.555555555555557</v>
      </c>
      <c r="M999" s="7">
        <f t="shared" si="47"/>
        <v>40018</v>
      </c>
      <c r="N999" s="7"/>
      <c r="O999" s="7"/>
    </row>
    <row r="1000" spans="1:15" x14ac:dyDescent="0.25">
      <c r="A1000" t="s">
        <v>1008</v>
      </c>
      <c r="B1000" t="s">
        <v>1</v>
      </c>
      <c r="C1000" t="s">
        <v>9</v>
      </c>
      <c r="D1000">
        <v>9</v>
      </c>
      <c r="E1000">
        <v>30000</v>
      </c>
      <c r="F1000">
        <v>-91.202898310053698</v>
      </c>
      <c r="G1000">
        <v>-12.5035522356533</v>
      </c>
      <c r="H1000">
        <v>2500</v>
      </c>
      <c r="I1000">
        <v>356</v>
      </c>
      <c r="J1000">
        <v>127</v>
      </c>
      <c r="K1000" t="str">
        <f t="shared" si="45"/>
        <v>Houston → Sydney</v>
      </c>
      <c r="L1000" s="5">
        <f t="shared" si="46"/>
        <v>39.555555555555557</v>
      </c>
      <c r="M1000" s="7">
        <f t="shared" si="47"/>
        <v>45212</v>
      </c>
      <c r="N1000" s="7"/>
      <c r="O1000" s="7"/>
    </row>
    <row r="1001" spans="1:15" x14ac:dyDescent="0.25">
      <c r="A1001" t="s">
        <v>1009</v>
      </c>
      <c r="B1001" t="s">
        <v>6</v>
      </c>
      <c r="C1001" t="s">
        <v>20</v>
      </c>
      <c r="D1001">
        <v>10</v>
      </c>
      <c r="E1001">
        <v>30000</v>
      </c>
      <c r="F1001">
        <v>-10.4543091234959</v>
      </c>
      <c r="G1001">
        <v>-68.554679040711306</v>
      </c>
      <c r="H1001">
        <v>2000</v>
      </c>
      <c r="I1001">
        <v>150</v>
      </c>
      <c r="J1001">
        <v>100</v>
      </c>
      <c r="K1001" t="str">
        <f t="shared" si="45"/>
        <v>Chicago → Dubai</v>
      </c>
      <c r="L1001" s="5">
        <f t="shared" si="46"/>
        <v>15</v>
      </c>
      <c r="M1001" s="7">
        <f t="shared" si="47"/>
        <v>15000</v>
      </c>
      <c r="N1001" s="7"/>
      <c r="O1001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C0FCA-AEB1-475C-A69C-A1491824BB72}">
  <dimension ref="A3:D167"/>
  <sheetViews>
    <sheetView topLeftCell="A26" zoomScale="80" zoomScaleNormal="80" workbookViewId="0">
      <selection activeCell="D58" sqref="D58"/>
    </sheetView>
  </sheetViews>
  <sheetFormatPr defaultRowHeight="15" x14ac:dyDescent="0.25"/>
  <cols>
    <col min="1" max="1" width="11.5703125" bestFit="1" customWidth="1"/>
    <col min="2" max="2" width="19.5703125" bestFit="1" customWidth="1"/>
    <col min="3" max="3" width="22.42578125" bestFit="1" customWidth="1"/>
    <col min="4" max="4" width="28.42578125" bestFit="1" customWidth="1"/>
  </cols>
  <sheetData>
    <row r="3" spans="1:3" x14ac:dyDescent="0.25">
      <c r="A3" s="1" t="s">
        <v>1020</v>
      </c>
      <c r="B3" t="s">
        <v>1049</v>
      </c>
      <c r="C3" t="s">
        <v>1051</v>
      </c>
    </row>
    <row r="4" spans="1:3" x14ac:dyDescent="0.25">
      <c r="A4" s="2" t="s">
        <v>1022</v>
      </c>
      <c r="B4" s="3">
        <v>2636.2</v>
      </c>
      <c r="C4" s="4">
        <v>114.3</v>
      </c>
    </row>
    <row r="5" spans="1:3" x14ac:dyDescent="0.25">
      <c r="A5" s="2" t="s">
        <v>1023</v>
      </c>
      <c r="B5" s="3">
        <v>2678.2580645161293</v>
      </c>
      <c r="C5" s="4">
        <v>116.3225806451613</v>
      </c>
    </row>
    <row r="6" spans="1:3" x14ac:dyDescent="0.25">
      <c r="A6" s="2" t="s">
        <v>1024</v>
      </c>
      <c r="B6" s="3">
        <v>2928.3</v>
      </c>
      <c r="C6" s="4">
        <v>121.425</v>
      </c>
    </row>
    <row r="7" spans="1:3" x14ac:dyDescent="0.25">
      <c r="A7" s="2" t="s">
        <v>1025</v>
      </c>
      <c r="B7" s="3">
        <v>2678.2105263157896</v>
      </c>
      <c r="C7" s="4">
        <v>137.15789473684211</v>
      </c>
    </row>
    <row r="8" spans="1:3" x14ac:dyDescent="0.25">
      <c r="A8" s="2" t="s">
        <v>1026</v>
      </c>
      <c r="B8" s="3">
        <v>2583.1463414634145</v>
      </c>
      <c r="C8" s="4">
        <v>133.19512195121951</v>
      </c>
    </row>
    <row r="9" spans="1:3" x14ac:dyDescent="0.25">
      <c r="A9" s="2" t="s">
        <v>1027</v>
      </c>
      <c r="B9" s="3">
        <v>2500</v>
      </c>
      <c r="C9" s="4">
        <v>111.05128205128206</v>
      </c>
    </row>
    <row r="10" spans="1:3" x14ac:dyDescent="0.25">
      <c r="A10" s="2" t="s">
        <v>1028</v>
      </c>
      <c r="B10" s="3">
        <v>2846.0851063829787</v>
      </c>
      <c r="C10" s="4">
        <v>138</v>
      </c>
    </row>
    <row r="11" spans="1:3" x14ac:dyDescent="0.25">
      <c r="A11" s="2" t="s">
        <v>1029</v>
      </c>
      <c r="B11" s="3">
        <v>2647.0227272727275</v>
      </c>
      <c r="C11" s="4">
        <v>113.36363636363636</v>
      </c>
    </row>
    <row r="12" spans="1:3" x14ac:dyDescent="0.25">
      <c r="A12" s="2" t="s">
        <v>1030</v>
      </c>
      <c r="B12" s="3">
        <v>2500</v>
      </c>
      <c r="C12" s="4">
        <v>127.23809523809524</v>
      </c>
    </row>
    <row r="13" spans="1:3" x14ac:dyDescent="0.25">
      <c r="A13" s="2" t="s">
        <v>1031</v>
      </c>
      <c r="B13" s="3">
        <v>2550</v>
      </c>
      <c r="C13" s="4">
        <v>120.29411764705883</v>
      </c>
    </row>
    <row r="14" spans="1:3" x14ac:dyDescent="0.25">
      <c r="A14" s="2" t="s">
        <v>1032</v>
      </c>
      <c r="B14" s="3">
        <v>2794.0540540540542</v>
      </c>
      <c r="C14" s="4">
        <v>113.08108108108108</v>
      </c>
    </row>
    <row r="15" spans="1:3" x14ac:dyDescent="0.25">
      <c r="A15" s="2" t="s">
        <v>1033</v>
      </c>
      <c r="B15" s="3">
        <v>2760.4761904761904</v>
      </c>
      <c r="C15" s="4">
        <v>131.14285714285714</v>
      </c>
    </row>
    <row r="16" spans="1:3" x14ac:dyDescent="0.25">
      <c r="A16" s="2" t="s">
        <v>1034</v>
      </c>
      <c r="B16" s="3">
        <v>2882.1714285714284</v>
      </c>
      <c r="C16" s="4">
        <v>125</v>
      </c>
    </row>
    <row r="17" spans="1:3" x14ac:dyDescent="0.25">
      <c r="A17" s="2" t="s">
        <v>1035</v>
      </c>
      <c r="B17" s="3">
        <v>3000</v>
      </c>
      <c r="C17" s="4">
        <v>145.125</v>
      </c>
    </row>
    <row r="18" spans="1:3" x14ac:dyDescent="0.25">
      <c r="A18" s="2" t="s">
        <v>1036</v>
      </c>
      <c r="B18" s="3">
        <v>2586.6111111111113</v>
      </c>
      <c r="C18" s="4">
        <v>119.02777777777777</v>
      </c>
    </row>
    <row r="19" spans="1:3" x14ac:dyDescent="0.25">
      <c r="A19" s="2" t="s">
        <v>1037</v>
      </c>
      <c r="B19" s="3">
        <v>2700</v>
      </c>
      <c r="C19" s="4">
        <v>128.31578947368422</v>
      </c>
    </row>
    <row r="20" spans="1:3" x14ac:dyDescent="0.25">
      <c r="A20" s="2" t="s">
        <v>1038</v>
      </c>
      <c r="B20" s="3">
        <v>2615.217391304348</v>
      </c>
      <c r="C20" s="4">
        <v>121.26086956521739</v>
      </c>
    </row>
    <row r="21" spans="1:3" x14ac:dyDescent="0.25">
      <c r="A21" s="2" t="s">
        <v>1039</v>
      </c>
      <c r="B21" s="3">
        <v>2718.3157894736842</v>
      </c>
      <c r="C21" s="4">
        <v>115.26315789473684</v>
      </c>
    </row>
    <row r="22" spans="1:3" x14ac:dyDescent="0.25">
      <c r="A22" s="2" t="s">
        <v>1040</v>
      </c>
      <c r="B22" s="3">
        <v>2931.4615384615386</v>
      </c>
      <c r="C22" s="4">
        <v>105.25641025641026</v>
      </c>
    </row>
    <row r="23" spans="1:3" x14ac:dyDescent="0.25">
      <c r="A23" s="2" t="s">
        <v>1041</v>
      </c>
      <c r="B23" s="3">
        <v>2729.0930232558139</v>
      </c>
      <c r="C23" s="4">
        <v>126.55813953488372</v>
      </c>
    </row>
    <row r="24" spans="1:3" x14ac:dyDescent="0.25">
      <c r="A24" s="2" t="s">
        <v>1042</v>
      </c>
      <c r="B24" s="3">
        <v>2588.1142857142859</v>
      </c>
      <c r="C24" s="4">
        <v>134.17142857142858</v>
      </c>
    </row>
    <row r="25" spans="1:3" x14ac:dyDescent="0.25">
      <c r="A25" s="2" t="s">
        <v>1043</v>
      </c>
      <c r="B25" s="3">
        <v>2760</v>
      </c>
      <c r="C25" s="4">
        <v>107.46153846153847</v>
      </c>
    </row>
    <row r="26" spans="1:3" x14ac:dyDescent="0.25">
      <c r="A26" s="2" t="s">
        <v>1044</v>
      </c>
      <c r="B26" s="3">
        <v>2847.3518518518517</v>
      </c>
      <c r="C26" s="4">
        <v>122.22222222222223</v>
      </c>
    </row>
    <row r="27" spans="1:3" x14ac:dyDescent="0.25">
      <c r="A27" s="2" t="s">
        <v>1045</v>
      </c>
      <c r="B27" s="3">
        <v>2800</v>
      </c>
      <c r="C27" s="4">
        <v>120.43478260869566</v>
      </c>
    </row>
    <row r="28" spans="1:3" x14ac:dyDescent="0.25">
      <c r="A28" s="2" t="s">
        <v>1046</v>
      </c>
      <c r="B28" s="3">
        <v>2954.1666666666665</v>
      </c>
      <c r="C28" s="4">
        <v>128.05555555555554</v>
      </c>
    </row>
    <row r="29" spans="1:3" x14ac:dyDescent="0.25">
      <c r="A29" s="2" t="s">
        <v>1047</v>
      </c>
      <c r="B29">
        <v>2731.0410000000002</v>
      </c>
      <c r="C29">
        <v>123.122</v>
      </c>
    </row>
    <row r="32" spans="1:3" x14ac:dyDescent="0.25">
      <c r="A32" s="1" t="s">
        <v>1014</v>
      </c>
      <c r="B32" t="s">
        <v>1048</v>
      </c>
    </row>
    <row r="33" spans="1:2" x14ac:dyDescent="0.25">
      <c r="A33" s="2">
        <v>30000</v>
      </c>
      <c r="B33" s="3">
        <v>2738.4442877291963</v>
      </c>
    </row>
    <row r="34" spans="1:2" x14ac:dyDescent="0.25">
      <c r="A34" s="2">
        <v>32000</v>
      </c>
      <c r="B34" s="3">
        <v>2610.121212121212</v>
      </c>
    </row>
    <row r="35" spans="1:2" x14ac:dyDescent="0.25">
      <c r="A35" s="2">
        <v>35000</v>
      </c>
      <c r="B35" s="3">
        <v>2798.4150943396226</v>
      </c>
    </row>
    <row r="36" spans="1:2" x14ac:dyDescent="0.25">
      <c r="A36" s="2" t="s">
        <v>1047</v>
      </c>
      <c r="B36">
        <v>2731.0410000000002</v>
      </c>
    </row>
    <row r="42" spans="1:2" x14ac:dyDescent="0.25">
      <c r="A42" s="1" t="s">
        <v>1012</v>
      </c>
      <c r="B42" t="s">
        <v>1050</v>
      </c>
    </row>
    <row r="43" spans="1:2" x14ac:dyDescent="0.25">
      <c r="A43" s="2" t="s">
        <v>20</v>
      </c>
      <c r="B43" s="3">
        <v>402.12698412698415</v>
      </c>
    </row>
    <row r="44" spans="1:2" x14ac:dyDescent="0.25">
      <c r="A44" s="2" t="s">
        <v>15</v>
      </c>
      <c r="B44" s="3">
        <v>374.19512195121951</v>
      </c>
    </row>
    <row r="45" spans="1:2" x14ac:dyDescent="0.25">
      <c r="A45" s="2" t="s">
        <v>13</v>
      </c>
      <c r="B45" s="3">
        <v>354</v>
      </c>
    </row>
    <row r="46" spans="1:2" x14ac:dyDescent="0.25">
      <c r="A46" s="2" t="s">
        <v>9</v>
      </c>
      <c r="B46" s="3">
        <v>356.00975609756097</v>
      </c>
    </row>
    <row r="47" spans="1:2" x14ac:dyDescent="0.25">
      <c r="A47" s="2" t="s">
        <v>2</v>
      </c>
      <c r="B47" s="3">
        <v>397.49473684210528</v>
      </c>
    </row>
    <row r="48" spans="1:2" x14ac:dyDescent="0.25">
      <c r="A48" s="2" t="s">
        <v>1047</v>
      </c>
      <c r="B48">
        <v>375.91199999999998</v>
      </c>
    </row>
    <row r="54" spans="1:2" x14ac:dyDescent="0.25">
      <c r="A54" s="1" t="s">
        <v>1020</v>
      </c>
      <c r="B54" t="s">
        <v>1060</v>
      </c>
    </row>
    <row r="55" spans="1:2" x14ac:dyDescent="0.25">
      <c r="A55" s="2" t="s">
        <v>20</v>
      </c>
      <c r="B55" s="15">
        <v>189</v>
      </c>
    </row>
    <row r="56" spans="1:2" x14ac:dyDescent="0.25">
      <c r="A56" s="2" t="s">
        <v>15</v>
      </c>
      <c r="B56" s="15">
        <v>205</v>
      </c>
    </row>
    <row r="57" spans="1:2" x14ac:dyDescent="0.25">
      <c r="A57" s="2" t="s">
        <v>13</v>
      </c>
      <c r="B57" s="15">
        <v>211</v>
      </c>
    </row>
    <row r="58" spans="1:2" x14ac:dyDescent="0.25">
      <c r="A58" s="2" t="s">
        <v>9</v>
      </c>
      <c r="B58" s="15">
        <v>205</v>
      </c>
    </row>
    <row r="59" spans="1:2" x14ac:dyDescent="0.25">
      <c r="A59" s="2" t="s">
        <v>2</v>
      </c>
      <c r="B59" s="15">
        <v>190</v>
      </c>
    </row>
    <row r="60" spans="1:2" x14ac:dyDescent="0.25">
      <c r="A60" s="2" t="s">
        <v>1047</v>
      </c>
      <c r="B60" s="15">
        <v>1000</v>
      </c>
    </row>
    <row r="66" spans="1:4" x14ac:dyDescent="0.25">
      <c r="A66" s="1" t="s">
        <v>1013</v>
      </c>
      <c r="B66" t="s">
        <v>1053</v>
      </c>
      <c r="C66" t="s">
        <v>1013</v>
      </c>
      <c r="D66" t="s">
        <v>1053</v>
      </c>
    </row>
    <row r="67" spans="1:4" x14ac:dyDescent="0.25">
      <c r="A67" s="2">
        <v>5</v>
      </c>
      <c r="B67" s="5">
        <v>74.379166666666649</v>
      </c>
      <c r="C67" s="2">
        <v>5</v>
      </c>
      <c r="D67" s="5">
        <v>74.379166666666649</v>
      </c>
    </row>
    <row r="68" spans="1:4" x14ac:dyDescent="0.25">
      <c r="A68" s="2">
        <v>7</v>
      </c>
      <c r="B68" s="5">
        <v>49.401154401154407</v>
      </c>
      <c r="C68" s="2">
        <v>7</v>
      </c>
      <c r="D68" s="5">
        <v>49.401154401154407</v>
      </c>
    </row>
    <row r="69" spans="1:4" x14ac:dyDescent="0.25">
      <c r="A69" s="2">
        <v>8</v>
      </c>
      <c r="B69" s="5">
        <v>47.078869047619051</v>
      </c>
      <c r="C69" s="2">
        <v>8</v>
      </c>
      <c r="D69" s="5">
        <v>47.078869047619051</v>
      </c>
    </row>
    <row r="70" spans="1:4" x14ac:dyDescent="0.25">
      <c r="A70" s="2">
        <v>9</v>
      </c>
      <c r="B70" s="5">
        <v>40.988133764832725</v>
      </c>
      <c r="C70" s="2">
        <v>9</v>
      </c>
      <c r="D70" s="5">
        <v>40.988133764832725</v>
      </c>
    </row>
    <row r="71" spans="1:4" x14ac:dyDescent="0.25">
      <c r="A71" s="2">
        <v>10</v>
      </c>
      <c r="B71" s="5">
        <v>38.628089887640421</v>
      </c>
      <c r="C71" s="2">
        <v>10</v>
      </c>
      <c r="D71" s="5">
        <v>38.628089887640421</v>
      </c>
    </row>
    <row r="72" spans="1:4" x14ac:dyDescent="0.25">
      <c r="A72" s="2">
        <v>11</v>
      </c>
      <c r="B72" s="5">
        <v>36.651515151515127</v>
      </c>
      <c r="C72" s="2">
        <v>11</v>
      </c>
      <c r="D72" s="5">
        <v>36.651515151515127</v>
      </c>
    </row>
    <row r="73" spans="1:4" x14ac:dyDescent="0.25">
      <c r="A73" s="2">
        <v>12</v>
      </c>
      <c r="B73" s="5">
        <v>32.934873949579831</v>
      </c>
      <c r="C73" s="2">
        <v>12</v>
      </c>
      <c r="D73" s="5">
        <v>32.934873949579831</v>
      </c>
    </row>
    <row r="74" spans="1:4" x14ac:dyDescent="0.25">
      <c r="A74" s="2">
        <v>15</v>
      </c>
      <c r="B74" s="5">
        <v>26.023015873015872</v>
      </c>
      <c r="C74" s="2">
        <v>15</v>
      </c>
      <c r="D74" s="5">
        <v>26.023015873015872</v>
      </c>
    </row>
    <row r="75" spans="1:4" x14ac:dyDescent="0.25">
      <c r="A75" s="2" t="s">
        <v>1047</v>
      </c>
      <c r="B75" s="5">
        <v>43.468235497835245</v>
      </c>
    </row>
    <row r="78" spans="1:4" x14ac:dyDescent="0.25">
      <c r="A78" s="1" t="s">
        <v>1020</v>
      </c>
      <c r="B78" t="s">
        <v>1058</v>
      </c>
    </row>
    <row r="79" spans="1:4" x14ac:dyDescent="0.25">
      <c r="A79" s="2" t="s">
        <v>1022</v>
      </c>
      <c r="B79" s="9">
        <v>30850</v>
      </c>
    </row>
    <row r="80" spans="1:4" x14ac:dyDescent="0.25">
      <c r="A80" s="2" t="s">
        <v>1023</v>
      </c>
      <c r="B80" s="9">
        <v>31096.774193548386</v>
      </c>
    </row>
    <row r="81" spans="1:2" x14ac:dyDescent="0.25">
      <c r="A81" s="2" t="s">
        <v>1024</v>
      </c>
      <c r="B81" s="9">
        <v>31500</v>
      </c>
    </row>
    <row r="82" spans="1:2" x14ac:dyDescent="0.25">
      <c r="A82" s="2" t="s">
        <v>1025</v>
      </c>
      <c r="B82" s="9">
        <v>31236.842105263157</v>
      </c>
    </row>
    <row r="83" spans="1:2" x14ac:dyDescent="0.25">
      <c r="A83" s="2" t="s">
        <v>1026</v>
      </c>
      <c r="B83" s="9">
        <v>31731.707317073171</v>
      </c>
    </row>
    <row r="84" spans="1:2" x14ac:dyDescent="0.25">
      <c r="A84" s="2" t="s">
        <v>1027</v>
      </c>
      <c r="B84" s="9">
        <v>31333.333333333332</v>
      </c>
    </row>
    <row r="85" spans="1:2" x14ac:dyDescent="0.25">
      <c r="A85" s="2" t="s">
        <v>1028</v>
      </c>
      <c r="B85" s="9">
        <v>30531.91489361702</v>
      </c>
    </row>
    <row r="86" spans="1:2" x14ac:dyDescent="0.25">
      <c r="A86" s="2" t="s">
        <v>1029</v>
      </c>
      <c r="B86" s="9">
        <v>31068.18181818182</v>
      </c>
    </row>
    <row r="87" spans="1:2" x14ac:dyDescent="0.25">
      <c r="A87" s="2" t="s">
        <v>1030</v>
      </c>
      <c r="B87" s="9">
        <v>31142.857142857141</v>
      </c>
    </row>
    <row r="88" spans="1:2" x14ac:dyDescent="0.25">
      <c r="A88" s="2" t="s">
        <v>1031</v>
      </c>
      <c r="B88" s="9">
        <v>30882.352941176472</v>
      </c>
    </row>
    <row r="89" spans="1:2" x14ac:dyDescent="0.25">
      <c r="A89" s="2" t="s">
        <v>1032</v>
      </c>
      <c r="B89" s="9">
        <v>31000</v>
      </c>
    </row>
    <row r="90" spans="1:2" x14ac:dyDescent="0.25">
      <c r="A90" s="2" t="s">
        <v>1033</v>
      </c>
      <c r="B90" s="9">
        <v>31119.047619047618</v>
      </c>
    </row>
    <row r="91" spans="1:2" x14ac:dyDescent="0.25">
      <c r="A91" s="2" t="s">
        <v>1034</v>
      </c>
      <c r="B91" s="9">
        <v>30542.857142857141</v>
      </c>
    </row>
    <row r="92" spans="1:2" x14ac:dyDescent="0.25">
      <c r="A92" s="2" t="s">
        <v>1035</v>
      </c>
      <c r="B92" s="9">
        <v>30625</v>
      </c>
    </row>
    <row r="93" spans="1:2" x14ac:dyDescent="0.25">
      <c r="A93" s="2" t="s">
        <v>1036</v>
      </c>
      <c r="B93" s="9">
        <v>30611.111111111109</v>
      </c>
    </row>
    <row r="94" spans="1:2" x14ac:dyDescent="0.25">
      <c r="A94" s="2" t="s">
        <v>1037</v>
      </c>
      <c r="B94" s="9">
        <v>31315.78947368421</v>
      </c>
    </row>
    <row r="95" spans="1:2" x14ac:dyDescent="0.25">
      <c r="A95" s="2" t="s">
        <v>1038</v>
      </c>
      <c r="B95" s="9">
        <v>31021.739130434784</v>
      </c>
    </row>
    <row r="96" spans="1:2" x14ac:dyDescent="0.25">
      <c r="A96" s="2" t="s">
        <v>1039</v>
      </c>
      <c r="B96" s="9">
        <v>31026.315789473683</v>
      </c>
    </row>
    <row r="97" spans="1:2" x14ac:dyDescent="0.25">
      <c r="A97" s="2" t="s">
        <v>1040</v>
      </c>
      <c r="B97" s="9">
        <v>31487.179487179488</v>
      </c>
    </row>
    <row r="98" spans="1:2" x14ac:dyDescent="0.25">
      <c r="A98" s="2" t="s">
        <v>1041</v>
      </c>
      <c r="B98" s="9">
        <v>31116.279069767443</v>
      </c>
    </row>
    <row r="99" spans="1:2" x14ac:dyDescent="0.25">
      <c r="A99" s="2" t="s">
        <v>1042</v>
      </c>
      <c r="B99" s="9">
        <v>30800</v>
      </c>
    </row>
    <row r="100" spans="1:2" x14ac:dyDescent="0.25">
      <c r="A100" s="2" t="s">
        <v>1043</v>
      </c>
      <c r="B100" s="9">
        <v>31564.102564102563</v>
      </c>
    </row>
    <row r="101" spans="1:2" x14ac:dyDescent="0.25">
      <c r="A101" s="2" t="s">
        <v>1044</v>
      </c>
      <c r="B101" s="9">
        <v>30981.481481481482</v>
      </c>
    </row>
    <row r="102" spans="1:2" x14ac:dyDescent="0.25">
      <c r="A102" s="2" t="s">
        <v>1045</v>
      </c>
      <c r="B102" s="9">
        <v>31021.739130434784</v>
      </c>
    </row>
    <row r="103" spans="1:2" x14ac:dyDescent="0.25">
      <c r="A103" s="2" t="s">
        <v>1046</v>
      </c>
      <c r="B103" s="9">
        <v>30833.333333333332</v>
      </c>
    </row>
    <row r="104" spans="1:2" x14ac:dyDescent="0.25">
      <c r="A104" s="2" t="s">
        <v>1047</v>
      </c>
      <c r="B104">
        <v>31059</v>
      </c>
    </row>
    <row r="107" spans="1:2" x14ac:dyDescent="0.25">
      <c r="A107" s="1" t="s">
        <v>1021</v>
      </c>
      <c r="B107" t="s">
        <v>1048</v>
      </c>
    </row>
    <row r="108" spans="1:2" x14ac:dyDescent="0.25">
      <c r="A108" s="2" t="s">
        <v>1022</v>
      </c>
      <c r="B108">
        <v>2636.2</v>
      </c>
    </row>
    <row r="109" spans="1:2" x14ac:dyDescent="0.25">
      <c r="A109" s="2" t="s">
        <v>1023</v>
      </c>
      <c r="B109">
        <v>2678.2580645161293</v>
      </c>
    </row>
    <row r="110" spans="1:2" x14ac:dyDescent="0.25">
      <c r="A110" s="2" t="s">
        <v>1024</v>
      </c>
      <c r="B110">
        <v>2928.3</v>
      </c>
    </row>
    <row r="111" spans="1:2" x14ac:dyDescent="0.25">
      <c r="A111" s="2" t="s">
        <v>1025</v>
      </c>
      <c r="B111">
        <v>2678.2105263157896</v>
      </c>
    </row>
    <row r="112" spans="1:2" x14ac:dyDescent="0.25">
      <c r="A112" s="2" t="s">
        <v>1026</v>
      </c>
      <c r="B112">
        <v>2583.1463414634145</v>
      </c>
    </row>
    <row r="113" spans="1:2" x14ac:dyDescent="0.25">
      <c r="A113" s="2" t="s">
        <v>1027</v>
      </c>
      <c r="B113">
        <v>2500</v>
      </c>
    </row>
    <row r="114" spans="1:2" x14ac:dyDescent="0.25">
      <c r="A114" s="2" t="s">
        <v>1028</v>
      </c>
      <c r="B114">
        <v>2846.0851063829787</v>
      </c>
    </row>
    <row r="115" spans="1:2" x14ac:dyDescent="0.25">
      <c r="A115" s="2" t="s">
        <v>1029</v>
      </c>
      <c r="B115">
        <v>2647.0227272727275</v>
      </c>
    </row>
    <row r="116" spans="1:2" x14ac:dyDescent="0.25">
      <c r="A116" s="2" t="s">
        <v>1030</v>
      </c>
      <c r="B116">
        <v>2500</v>
      </c>
    </row>
    <row r="117" spans="1:2" x14ac:dyDescent="0.25">
      <c r="A117" s="2" t="s">
        <v>1031</v>
      </c>
      <c r="B117">
        <v>2550</v>
      </c>
    </row>
    <row r="118" spans="1:2" x14ac:dyDescent="0.25">
      <c r="A118" s="2" t="s">
        <v>1032</v>
      </c>
      <c r="B118">
        <v>2794.0540540540542</v>
      </c>
    </row>
    <row r="119" spans="1:2" x14ac:dyDescent="0.25">
      <c r="A119" s="2" t="s">
        <v>1033</v>
      </c>
      <c r="B119">
        <v>2760.4761904761904</v>
      </c>
    </row>
    <row r="120" spans="1:2" x14ac:dyDescent="0.25">
      <c r="A120" s="2" t="s">
        <v>1034</v>
      </c>
      <c r="B120">
        <v>2882.1714285714284</v>
      </c>
    </row>
    <row r="121" spans="1:2" x14ac:dyDescent="0.25">
      <c r="A121" s="2" t="s">
        <v>1035</v>
      </c>
      <c r="B121">
        <v>3000</v>
      </c>
    </row>
    <row r="122" spans="1:2" x14ac:dyDescent="0.25">
      <c r="A122" s="2" t="s">
        <v>1036</v>
      </c>
      <c r="B122">
        <v>2586.6111111111113</v>
      </c>
    </row>
    <row r="123" spans="1:2" x14ac:dyDescent="0.25">
      <c r="A123" s="2" t="s">
        <v>1037</v>
      </c>
      <c r="B123">
        <v>2700</v>
      </c>
    </row>
    <row r="124" spans="1:2" x14ac:dyDescent="0.25">
      <c r="A124" s="2" t="s">
        <v>1038</v>
      </c>
      <c r="B124">
        <v>2615.217391304348</v>
      </c>
    </row>
    <row r="125" spans="1:2" x14ac:dyDescent="0.25">
      <c r="A125" s="2" t="s">
        <v>1039</v>
      </c>
      <c r="B125">
        <v>2718.3157894736842</v>
      </c>
    </row>
    <row r="126" spans="1:2" x14ac:dyDescent="0.25">
      <c r="A126" s="2" t="s">
        <v>1040</v>
      </c>
      <c r="B126">
        <v>2931.4615384615386</v>
      </c>
    </row>
    <row r="127" spans="1:2" x14ac:dyDescent="0.25">
      <c r="A127" s="2" t="s">
        <v>1041</v>
      </c>
      <c r="B127">
        <v>2729.0930232558139</v>
      </c>
    </row>
    <row r="128" spans="1:2" x14ac:dyDescent="0.25">
      <c r="A128" s="2" t="s">
        <v>1042</v>
      </c>
      <c r="B128">
        <v>2588.1142857142859</v>
      </c>
    </row>
    <row r="129" spans="1:2" x14ac:dyDescent="0.25">
      <c r="A129" s="2" t="s">
        <v>1043</v>
      </c>
      <c r="B129">
        <v>2760</v>
      </c>
    </row>
    <row r="130" spans="1:2" x14ac:dyDescent="0.25">
      <c r="A130" s="2" t="s">
        <v>1044</v>
      </c>
      <c r="B130">
        <v>2847.3518518518517</v>
      </c>
    </row>
    <row r="131" spans="1:2" x14ac:dyDescent="0.25">
      <c r="A131" s="2" t="s">
        <v>1045</v>
      </c>
      <c r="B131">
        <v>2800</v>
      </c>
    </row>
    <row r="132" spans="1:2" x14ac:dyDescent="0.25">
      <c r="A132" s="2" t="s">
        <v>1046</v>
      </c>
      <c r="B132">
        <v>2954.1666666666665</v>
      </c>
    </row>
    <row r="133" spans="1:2" x14ac:dyDescent="0.25">
      <c r="A133" s="2" t="s">
        <v>1047</v>
      </c>
      <c r="B133">
        <v>2731.0410000000002</v>
      </c>
    </row>
    <row r="137" spans="1:2" x14ac:dyDescent="0.25">
      <c r="A137" s="1" t="s">
        <v>1057</v>
      </c>
      <c r="B137" t="s">
        <v>1055</v>
      </c>
    </row>
    <row r="138" spans="1:2" x14ac:dyDescent="0.25">
      <c r="A138" s="2" t="s">
        <v>20</v>
      </c>
      <c r="B138" s="7">
        <v>9044892</v>
      </c>
    </row>
    <row r="139" spans="1:2" x14ac:dyDescent="0.25">
      <c r="A139" s="2" t="s">
        <v>15</v>
      </c>
      <c r="B139" s="7">
        <v>9321130</v>
      </c>
    </row>
    <row r="140" spans="1:2" x14ac:dyDescent="0.25">
      <c r="A140" s="2" t="s">
        <v>13</v>
      </c>
      <c r="B140" s="7">
        <v>8793066</v>
      </c>
    </row>
    <row r="141" spans="1:2" x14ac:dyDescent="0.25">
      <c r="A141" s="2" t="s">
        <v>9</v>
      </c>
      <c r="B141" s="7">
        <v>9359868</v>
      </c>
    </row>
    <row r="142" spans="1:2" x14ac:dyDescent="0.25">
      <c r="A142" s="2" t="s">
        <v>2</v>
      </c>
      <c r="B142" s="7">
        <v>9449707</v>
      </c>
    </row>
    <row r="143" spans="1:2" x14ac:dyDescent="0.25">
      <c r="A143" s="2" t="s">
        <v>1047</v>
      </c>
      <c r="B143" s="7">
        <v>45968663</v>
      </c>
    </row>
    <row r="166" spans="1:4" x14ac:dyDescent="0.25">
      <c r="A166" t="s">
        <v>1056</v>
      </c>
      <c r="B166" t="s">
        <v>1059</v>
      </c>
      <c r="C166" t="s">
        <v>1050</v>
      </c>
      <c r="D166" t="s">
        <v>1048</v>
      </c>
    </row>
    <row r="167" spans="1:4" x14ac:dyDescent="0.25">
      <c r="A167">
        <v>1000</v>
      </c>
      <c r="B167" s="9">
        <v>123.122</v>
      </c>
      <c r="C167" s="10">
        <v>375.91199999999998</v>
      </c>
      <c r="D167" s="3">
        <v>2731.0410000000002</v>
      </c>
    </row>
  </sheetData>
  <conditionalFormatting pivot="1" sqref="C4:C28">
    <cfRule type="colorScale" priority="5">
      <colorScale>
        <cfvo type="min"/>
        <cfvo type="max"/>
        <color theme="2" tint="-0.499984740745262"/>
        <color theme="2" tint="-9.9978637043366805E-2"/>
      </colorScale>
    </cfRule>
  </conditionalFormatting>
  <conditionalFormatting pivot="1" sqref="B4:B28">
    <cfRule type="colorScale" priority="4">
      <colorScale>
        <cfvo type="min"/>
        <cfvo type="max"/>
        <color theme="2" tint="-0.499984740745262"/>
        <color theme="2" tint="-9.9978637043366805E-2"/>
      </colorScale>
    </cfRule>
  </conditionalFormatting>
  <conditionalFormatting pivot="1" sqref="B4:B28">
    <cfRule type="colorScale" priority="3">
      <colorScale>
        <cfvo type="min"/>
        <cfvo type="max"/>
        <color theme="4" tint="-0.499984740745262"/>
        <color theme="4" tint="0.79998168889431442"/>
      </colorScale>
    </cfRule>
  </conditionalFormatting>
  <conditionalFormatting pivot="1" sqref="C4:C28">
    <cfRule type="colorScale" priority="2">
      <colorScale>
        <cfvo type="min"/>
        <cfvo type="max"/>
        <color theme="4" tint="-0.499984740745262"/>
        <color theme="4" tint="0.79998168889431442"/>
      </colorScale>
    </cfRule>
  </conditionalFormatting>
  <conditionalFormatting pivot="1" sqref="C4:C28">
    <cfRule type="colorScale" priority="1">
      <colorScale>
        <cfvo type="min"/>
        <cfvo type="max"/>
        <color theme="4" tint="-0.499984740745262"/>
        <color theme="4" tint="0.79998168889431442"/>
      </colorScale>
    </cfRule>
  </conditionalFormatting>
  <pageMargins left="0.7" right="0.7" top="0.75" bottom="0.75" header="0.3" footer="0.3"/>
  <pageSetup orientation="portrait"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0BB43-89A6-41FE-98A8-E354CCEB1611}">
  <dimension ref="A4:M10"/>
  <sheetViews>
    <sheetView tabSelected="1" workbookViewId="0">
      <selection activeCell="L31" sqref="L31"/>
    </sheetView>
  </sheetViews>
  <sheetFormatPr defaultRowHeight="15" x14ac:dyDescent="0.25"/>
  <cols>
    <col min="1" max="1" width="9.140625" style="16"/>
    <col min="2" max="2" width="13" style="16" customWidth="1"/>
    <col min="3" max="16384" width="9.140625" style="12"/>
  </cols>
  <sheetData>
    <row r="4" spans="1:13" s="12" customFormat="1" x14ac:dyDescent="0.25">
      <c r="A4" s="16"/>
      <c r="B4" s="16"/>
      <c r="G4" s="11"/>
    </row>
    <row r="9" spans="1:13" s="12" customFormat="1" x14ac:dyDescent="0.25">
      <c r="A9" s="16"/>
      <c r="B9" s="16"/>
      <c r="F9" s="13"/>
    </row>
    <row r="10" spans="1:13" s="12" customFormat="1" ht="15.75" x14ac:dyDescent="0.25">
      <c r="A10" s="16"/>
      <c r="B10" s="16"/>
      <c r="E10" s="14"/>
      <c r="M10" s="1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Aviation_Data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Johnson</dc:creator>
  <cp:lastModifiedBy>sharon johnson</cp:lastModifiedBy>
  <dcterms:created xsi:type="dcterms:W3CDTF">2025-05-22T14:30:39Z</dcterms:created>
  <dcterms:modified xsi:type="dcterms:W3CDTF">2025-05-25T20:48:34Z</dcterms:modified>
</cp:coreProperties>
</file>